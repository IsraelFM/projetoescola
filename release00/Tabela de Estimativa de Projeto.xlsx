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al" sheetId="1" r:id="rId3"/>
    <sheet state="visible" name="Atores" sheetId="2" r:id="rId4"/>
    <sheet state="visible" name="RFS ou RFC" sheetId="3" r:id="rId5"/>
    <sheet state="visible" name="Fatores" sheetId="4" r:id="rId6"/>
    <sheet state="visible" name="dadoshistoricos" sheetId="5" r:id="rId7"/>
  </sheets>
  <definedNames>
    <definedName name="FCTEC">Fatores!$E$22</definedName>
    <definedName name="PTUC">'RFS ou RFC'!$D$10</definedName>
    <definedName localSheetId="2" name="_Toc112831755">'RFS ou RFC'!$B$13</definedName>
    <definedName name="UC">'RFS ou RFC'!$A$12:$C$39</definedName>
    <definedName name="ITEC">Fatores!$E$22</definedName>
    <definedName name="CUC">'RFS ou RFC'!$D$13:$D$39</definedName>
    <definedName name="FCAMB">Fatores!$G$36</definedName>
    <definedName name="PTA">Atores!$D$10</definedName>
    <definedName name="Atores">Atores!$B$13:$C$17</definedName>
  </definedNames>
  <calcPr/>
  <extLst>
    <ext uri="GoogleSheetsCustomDataVersion1">
      <go:sheetsCustomData xmlns:go="http://customooxmlschemas.google.com/" r:id="rId8" roundtripDataSignature="AMtx7mhHYdtkVDZwLQNkQI44XOFSBPCXeg=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B7">
      <text>
        <t xml:space="preserve">======
ID#AAAAC-7ALzg
Ator Simples    (2019-06-03 21:55:54)
Representa um outro sistema com Interface definida de Programas.</t>
      </text>
    </comment>
    <comment authorId="0" ref="B8">
      <text>
        <t xml:space="preserve">======
ID#AAAAC-7ALzY
Ator Médio    (2019-06-03 21:55:54)
Representa um outro sistema que  interage através de protocolos ou quando há interação humana através de terminal.</t>
      </text>
    </comment>
    <comment authorId="0" ref="B9">
      <text>
        <t xml:space="preserve">======
ID#AAAAC-7ALzI
Ator Complexo    (2019-06-03 21:55:54)
É uma pessoa que interage através de Interface
Gráfica ou página Web.</t>
      </text>
    </comment>
  </commentList>
  <extLst>
    <ext uri="GoogleSheetsCustomDataVersion1">
      <go:sheetsCustomData xmlns:go="http://customooxmlschemas.google.com/" r:id="rId1" roundtripDataSignature="AMtx7mhJCp4A5diHUdM4CPnFoG5wOxHxug=="/>
    </ext>
  </extL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B9">
      <text>
        <t xml:space="preserve">======
ID#AAAAC-7ALzc
UC Complexo    (2019-06-03 21:55:54)
Acima de 5 entidades.</t>
      </text>
    </comment>
    <comment authorId="0" ref="D12">
      <text>
        <t xml:space="preserve">======
ID#AAAAC-7ALzU
Fórmula para Identificar de forma automática a complexidade do UC    (2019-06-03 21:55:54)
=SE(C13&lt;4;"Simples";(SE(C13&gt;7;"Complexo";"Médio")))</t>
      </text>
    </comment>
    <comment authorId="0" ref="B8">
      <text>
        <t xml:space="preserve">======
ID#AAAAC-7ALzQ
UC Médio    (2019-06-03 21:55:54)
Tem de 3 a 5 Entidades.</t>
      </text>
    </comment>
    <comment authorId="0" ref="B7">
      <text>
        <t xml:space="preserve">======
ID#AAAAC-7ALzM
UC Simples    (2019-06-03 21:55:54)
Tem até 3 Entidades</t>
      </text>
    </comment>
  </commentList>
  <extLst>
    <ext uri="GoogleSheetsCustomDataVersion1">
      <go:sheetsCustomData xmlns:go="http://customooxmlschemas.google.com/" r:id="rId1" roundtripDataSignature="AMtx7mgdt77sF3/VWfPRWvpHyKFutYi74Q=="/>
    </ext>
  </extLst>
</comments>
</file>

<file path=xl/sharedStrings.xml><?xml version="1.0" encoding="utf-8"?>
<sst xmlns="http://schemas.openxmlformats.org/spreadsheetml/2006/main" count="200" uniqueCount="169">
  <si>
    <t>Casos de Uso do Projeto</t>
  </si>
  <si>
    <t>Atores do Projeto</t>
  </si>
  <si>
    <t>Estimativa de Esforço de Projeto baseado em                                                                Pontos de Caso de Uso (vs 1.1)</t>
  </si>
  <si>
    <t>Complexidade do RF</t>
  </si>
  <si>
    <t>Peso</t>
  </si>
  <si>
    <t>Qt. de UC</t>
  </si>
  <si>
    <t>Complexidade do Ator</t>
  </si>
  <si>
    <t>Projeto:</t>
  </si>
  <si>
    <t>Qt. de Atores</t>
  </si>
  <si>
    <t>Simples</t>
  </si>
  <si>
    <t>Escola</t>
  </si>
  <si>
    <t>Médio</t>
  </si>
  <si>
    <t>Responsável:</t>
  </si>
  <si>
    <t>Israel Ferreira de Moraes</t>
  </si>
  <si>
    <t>Data:</t>
  </si>
  <si>
    <t>Complexo</t>
  </si>
  <si>
    <t>Vs. do Documento:</t>
  </si>
  <si>
    <t>1.0</t>
  </si>
  <si>
    <t>Peso Total Atores =</t>
  </si>
  <si>
    <t>Peso Total UC</t>
  </si>
  <si>
    <t>Resultado da Estimativa</t>
  </si>
  <si>
    <t>Atores</t>
  </si>
  <si>
    <t>ID</t>
  </si>
  <si>
    <t>Nome do RFC ou RFS</t>
  </si>
  <si>
    <t>Complexidade</t>
  </si>
  <si>
    <t>Secretário(a)</t>
  </si>
  <si>
    <t>Nro Entidades</t>
  </si>
  <si>
    <t>Bibliotecário(a)</t>
  </si>
  <si>
    <t>Esforço por fases</t>
  </si>
  <si>
    <t>Professor(a)</t>
  </si>
  <si>
    <t>Diretor(a)</t>
  </si>
  <si>
    <t>Horas</t>
  </si>
  <si>
    <t>Discriminar Transações(opcional)</t>
  </si>
  <si>
    <t>[RFC01]</t>
  </si>
  <si>
    <t>Total</t>
  </si>
  <si>
    <t>Manter Perfil de Usuário</t>
  </si>
  <si>
    <t>%</t>
  </si>
  <si>
    <t>Perfil de Usuário</t>
  </si>
  <si>
    <t>Total de Pontos de Caso de Uso(tamanho)</t>
  </si>
  <si>
    <t>[RFC02]</t>
  </si>
  <si>
    <t>Manter Aluno</t>
  </si>
  <si>
    <t>Aluno, Notas, Mensalidade, Exame, Disciplina, Série, Responsável</t>
  </si>
  <si>
    <t>[RFC03]</t>
  </si>
  <si>
    <t>Manter Notas</t>
  </si>
  <si>
    <t>Nota, Aluno, Exame</t>
  </si>
  <si>
    <t>[RFC04]</t>
  </si>
  <si>
    <t>Manter Mensalidade</t>
  </si>
  <si>
    <t>Mensallidade, Aluno</t>
  </si>
  <si>
    <t>[RFC05]</t>
  </si>
  <si>
    <t>Manter Exame</t>
  </si>
  <si>
    <t>Fase de Prospecção</t>
  </si>
  <si>
    <t>Exame, Nota, Aluno</t>
  </si>
  <si>
    <t>[RFC06]</t>
  </si>
  <si>
    <t xml:space="preserve">Manter Material Didático
</t>
  </si>
  <si>
    <t>Homens/hora por RFS</t>
  </si>
  <si>
    <t>Fase de Análise</t>
  </si>
  <si>
    <t>Material Didático</t>
  </si>
  <si>
    <t>[RFC07]</t>
  </si>
  <si>
    <t>Manter Calendário Escolar</t>
  </si>
  <si>
    <t>Calendario Escolar, Perfil de Usuário</t>
  </si>
  <si>
    <t>[RFC08]</t>
  </si>
  <si>
    <t>Manter Disciplinas</t>
  </si>
  <si>
    <t xml:space="preserve">Disciplina, Perfil de Usuário </t>
  </si>
  <si>
    <t>[RFC09]</t>
  </si>
  <si>
    <t>Manter Funcionário</t>
  </si>
  <si>
    <t>Funcionário, Perfil de Usuário, Custo, Diciplina</t>
  </si>
  <si>
    <t>[RFC10]</t>
  </si>
  <si>
    <t>Manter Custo</t>
  </si>
  <si>
    <t>Custo, Funcionário</t>
  </si>
  <si>
    <t>[RFC11]</t>
  </si>
  <si>
    <t>Manter Série</t>
  </si>
  <si>
    <t>Série</t>
  </si>
  <si>
    <t>[RFC12]</t>
  </si>
  <si>
    <t>Manter Responsável</t>
  </si>
  <si>
    <t>Responsável, Aluno</t>
  </si>
  <si>
    <t>[RFS49]</t>
  </si>
  <si>
    <t>Emitir Relatório de Alunos com Maiores Notas</t>
  </si>
  <si>
    <t>Notas, Aluno, Série, Disciplina</t>
  </si>
  <si>
    <t>[RFS50]</t>
  </si>
  <si>
    <t>Emitir  Relatório dos Maiores Custos da Escola</t>
  </si>
  <si>
    <t>Custos</t>
  </si>
  <si>
    <t>[RFS51]</t>
  </si>
  <si>
    <t>Emitir Relatório de Inadimplência de Mensalidade</t>
  </si>
  <si>
    <t>Mensalidade, Aluno</t>
  </si>
  <si>
    <t>Fase de Projeto</t>
  </si>
  <si>
    <t>[RFS52]</t>
  </si>
  <si>
    <t>Emitir Relatório das Notas por Disciplinas que os Alunos se Destacam</t>
  </si>
  <si>
    <t>Disciplina, Aluno, Notas</t>
  </si>
  <si>
    <t>Fase de Planejamento</t>
  </si>
  <si>
    <t>Fase de Desenvolvimento</t>
  </si>
  <si>
    <t>Processo de Monitoramento e Controle</t>
  </si>
  <si>
    <t>Fase de Fechamento</t>
  </si>
  <si>
    <t>Processo Controle de mudanças</t>
  </si>
  <si>
    <t>Total de horas do Projeto</t>
  </si>
  <si>
    <t>Instruções para realizar a estimativa do Projeto:</t>
  </si>
  <si>
    <t>1) Preencha a Planilha Atores indicando os atores(usuários do sistema) e a sua complexidade.</t>
  </si>
  <si>
    <t>2) Preencha a Planilha RFS ou RFC indicando os Requisitos e quantidade de transações.</t>
  </si>
  <si>
    <t>3) Preencha a Planilha Fatores, com os fatores de complexidade ambiental e técnicos do Projeto.</t>
  </si>
  <si>
    <t>4) Após a execução dos passos anteriores, os resultados finais encontram-se na Planilha Geral.</t>
  </si>
  <si>
    <t>Obs.:</t>
  </si>
  <si>
    <t>Existem informações ocultas na células que possuem marcação(pontos coloridos). Posicione o mouse sobre a celula para visualizar a informação.</t>
  </si>
  <si>
    <t>Fatores de Complexidade</t>
  </si>
  <si>
    <t>Influência Tecnológica</t>
  </si>
  <si>
    <t>Descrição</t>
  </si>
  <si>
    <t>Influência</t>
  </si>
  <si>
    <t>T01</t>
  </si>
  <si>
    <t>Sistemas Distribuídos</t>
  </si>
  <si>
    <t>T02</t>
  </si>
  <si>
    <t>Tempo de resposta</t>
  </si>
  <si>
    <t>T03</t>
  </si>
  <si>
    <t>Grau de escolaridade do usuário final</t>
  </si>
  <si>
    <t>T04</t>
  </si>
  <si>
    <t>Processamento interno complexo</t>
  </si>
  <si>
    <t>T05</t>
  </si>
  <si>
    <t>Reusabilidade do código em outras aplicações</t>
  </si>
  <si>
    <t>T06</t>
  </si>
  <si>
    <t>Facilidade de instalação</t>
  </si>
  <si>
    <t>T07</t>
  </si>
  <si>
    <t>Usabilidade (facilidade operacional)</t>
  </si>
  <si>
    <t>T08</t>
  </si>
  <si>
    <t>Portabilidade</t>
  </si>
  <si>
    <t>T09</t>
  </si>
  <si>
    <t>Facilidade de manutenção</t>
  </si>
  <si>
    <t>T10</t>
  </si>
  <si>
    <t>Concorrência</t>
  </si>
  <si>
    <t>T11</t>
  </si>
  <si>
    <t>Características especiais de segurança</t>
  </si>
  <si>
    <t>T12</t>
  </si>
  <si>
    <t>Acesso direto para terceiros</t>
  </si>
  <si>
    <t>T13</t>
  </si>
  <si>
    <t>Facilidades especiais de treinamento</t>
  </si>
  <si>
    <t>Fator de Complexidade Técnica</t>
  </si>
  <si>
    <t>Influência Ambiental</t>
  </si>
  <si>
    <t>F01</t>
  </si>
  <si>
    <t>Familiaridade com o Processo de Desenvolvimento de Software</t>
  </si>
  <si>
    <t>F02</t>
  </si>
  <si>
    <t>Experiência na Aplicação</t>
  </si>
  <si>
    <t>F03</t>
  </si>
  <si>
    <t>Experiência em Programação Orientada a Objetos</t>
  </si>
  <si>
    <t>Base histórica de Projetos</t>
  </si>
  <si>
    <t>F04</t>
  </si>
  <si>
    <t>Capacidade do Líder de Projeto</t>
  </si>
  <si>
    <t>F05</t>
  </si>
  <si>
    <t>Motivação</t>
  </si>
  <si>
    <t>F06</t>
  </si>
  <si>
    <t>Requisitos estáveis</t>
  </si>
  <si>
    <t>F07</t>
  </si>
  <si>
    <t>Trabalhadores com dedicação parcial</t>
  </si>
  <si>
    <t>Projetos</t>
  </si>
  <si>
    <t>F08</t>
  </si>
  <si>
    <t>Dificuldade da Linguagem de Programação</t>
  </si>
  <si>
    <t>Tamanho</t>
  </si>
  <si>
    <t>Fator de Complexidade Ambiental</t>
  </si>
  <si>
    <t>Horas Reais</t>
  </si>
  <si>
    <t>Prospecção</t>
  </si>
  <si>
    <t>Análise e Projeto</t>
  </si>
  <si>
    <t>Planejamento</t>
  </si>
  <si>
    <t>Desenvolvimento</t>
  </si>
  <si>
    <t>Fechamento</t>
  </si>
  <si>
    <t>Mon.Controle</t>
  </si>
  <si>
    <t>Cont. Mud.</t>
  </si>
  <si>
    <t>Produtividade</t>
  </si>
  <si>
    <t>Projeto 01</t>
  </si>
  <si>
    <t>Projeto 02</t>
  </si>
  <si>
    <t>Projeto 03</t>
  </si>
  <si>
    <t>Projeto 04</t>
  </si>
  <si>
    <t>Total de horas por fase</t>
  </si>
  <si>
    <t>Produtividade média</t>
  </si>
  <si>
    <t>% de esforço por fases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</si>
</sst>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UC&quot;00#"/>
    <numFmt numFmtId="165" formatCode="0.0%"/>
    <numFmt numFmtId="166" formatCode="0.0"/>
  </numFmts>
  <fonts count="15">
    <font>
      <sz val="10.0"/>
      <color rgb="FF000000"/>
      <name val="Arial"/>
    </font>
    <font>
      <sz val="10.0"/>
      <name val="Arial"/>
    </font>
    <font>
      <b/>
      <sz val="12.0"/>
      <name val="Arial"/>
    </font>
    <font/>
    <font>
      <b/>
      <sz val="10.0"/>
      <name val="Arial"/>
    </font>
    <font>
      <sz val="10.0"/>
      <color rgb="FF0000FF"/>
      <name val="Arial"/>
    </font>
    <font>
      <sz val="10.0"/>
      <color rgb="FFFF0000"/>
      <name val="Arial"/>
    </font>
    <font>
      <u/>
      <sz val="10.0"/>
      <name val="Arial"/>
    </font>
    <font>
      <name val="Arial"/>
    </font>
    <font>
      <color rgb="FF000000"/>
      <name val="Arial"/>
    </font>
    <font>
      <u/>
      <sz val="10.0"/>
      <name val="Arial"/>
    </font>
    <font>
      <b/>
      <i/>
      <sz val="14.0"/>
      <name val="Arial"/>
    </font>
    <font>
      <b/>
      <i/>
      <sz val="12.0"/>
      <name val="Arial"/>
    </font>
    <font>
      <b/>
      <sz val="10.0"/>
      <color rgb="FFFFFFFF"/>
      <name val="Arial"/>
    </font>
    <font>
      <sz val="10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CCFF"/>
        <bgColor rgb="FF99CCFF"/>
      </patternFill>
    </fill>
    <fill>
      <patternFill patternType="solid">
        <fgColor rgb="FFCCFFFF"/>
        <bgColor rgb="FFCCFFFF"/>
      </patternFill>
    </fill>
    <fill>
      <patternFill patternType="solid">
        <fgColor rgb="FF333399"/>
        <bgColor rgb="FF333399"/>
      </patternFill>
    </fill>
    <fill>
      <patternFill patternType="solid">
        <fgColor rgb="FF003366"/>
        <bgColor rgb="FF003366"/>
      </patternFill>
    </fill>
  </fills>
  <borders count="85">
    <border/>
    <border>
      <left/>
      <right/>
      <top/>
      <bottom/>
    </border>
    <border>
      <left/>
      <top style="thin">
        <color rgb="FF000000"/>
      </top>
    </border>
    <border>
      <left/>
      <top/>
      <bottom style="double">
        <color rgb="FF000000"/>
      </bottom>
    </border>
    <border>
      <top style="thin">
        <color rgb="FF000000"/>
      </top>
    </border>
    <border>
      <top/>
      <bottom style="double">
        <color rgb="FF000000"/>
      </bottom>
    </border>
    <border>
      <right/>
      <top style="thin">
        <color rgb="FF000000"/>
      </top>
    </border>
    <border>
      <right/>
      <top/>
      <bottom style="double">
        <color rgb="FF000000"/>
      </bottom>
    </border>
    <border>
      <left/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/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top/>
      <bottom/>
    </border>
    <border>
      <right/>
      <top/>
      <bottom/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 style="double">
        <color rgb="FF000000"/>
      </bottom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5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1" fillId="2" fontId="2" numFmtId="0" xfId="0" applyAlignment="1" applyBorder="1" applyFont="1">
      <alignment vertical="center"/>
    </xf>
    <xf borderId="2" fillId="2" fontId="2" numFmtId="49" xfId="0" applyAlignment="1" applyBorder="1" applyFont="1" applyNumberFormat="1">
      <alignment horizontal="center" shrinkToFit="0" vertical="center" wrapText="1"/>
    </xf>
    <xf borderId="3" fillId="2" fontId="2" numFmtId="0" xfId="0" applyAlignment="1" applyBorder="1" applyFont="1">
      <alignment horizontal="center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1" fillId="2" fontId="2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2" fontId="4" numFmtId="0" xfId="0" applyAlignment="1" applyBorder="1" applyFont="1">
      <alignment horizontal="center"/>
    </xf>
    <xf borderId="11" fillId="0" fontId="3" numFmtId="0" xfId="0" applyBorder="1" applyFont="1"/>
    <xf borderId="12" fillId="2" fontId="4" numFmtId="0" xfId="0" applyAlignment="1" applyBorder="1" applyFont="1">
      <alignment horizontal="center"/>
    </xf>
    <xf borderId="13" fillId="2" fontId="4" numFmtId="0" xfId="0" applyAlignment="1" applyBorder="1" applyFont="1">
      <alignment horizontal="center"/>
    </xf>
    <xf borderId="10" fillId="2" fontId="4" numFmtId="0" xfId="0" applyBorder="1" applyFont="1"/>
    <xf borderId="14" fillId="2" fontId="2" numFmtId="0" xfId="0" applyAlignment="1" applyBorder="1" applyFont="1">
      <alignment horizontal="left" vertical="center"/>
    </xf>
    <xf borderId="13" fillId="2" fontId="4" numFmtId="0" xfId="0" applyBorder="1" applyFont="1"/>
    <xf borderId="15" fillId="0" fontId="3" numFmtId="0" xfId="0" applyBorder="1" applyFont="1"/>
    <xf borderId="16" fillId="2" fontId="1" numFmtId="0" xfId="0" applyAlignment="1" applyBorder="1" applyFont="1">
      <alignment horizontal="center"/>
    </xf>
    <xf borderId="17" fillId="2" fontId="1" numFmtId="0" xfId="0" applyAlignment="1" applyBorder="1" applyFont="1">
      <alignment horizontal="center"/>
    </xf>
    <xf borderId="1" fillId="2" fontId="4" numFmtId="0" xfId="0" applyAlignment="1" applyBorder="1" applyFont="1">
      <alignment horizontal="center"/>
    </xf>
    <xf borderId="14" fillId="2" fontId="1" numFmtId="0" xfId="0" applyAlignment="1" applyBorder="1" applyFont="1">
      <alignment horizontal="left" vertical="center"/>
    </xf>
    <xf borderId="18" fillId="2" fontId="1" numFmtId="0" xfId="0" applyAlignment="1" applyBorder="1" applyFont="1">
      <alignment horizontal="center"/>
    </xf>
    <xf borderId="19" fillId="0" fontId="3" numFmtId="0" xfId="0" applyBorder="1" applyFont="1"/>
    <xf borderId="20" fillId="2" fontId="1" numFmtId="0" xfId="0" applyAlignment="1" applyBorder="1" applyFont="1">
      <alignment horizontal="center"/>
    </xf>
    <xf borderId="21" fillId="2" fontId="1" numFmtId="0" xfId="0" applyAlignment="1" applyBorder="1" applyFont="1">
      <alignment horizontal="center"/>
    </xf>
    <xf borderId="14" fillId="2" fontId="4" numFmtId="0" xfId="0" applyAlignment="1" applyBorder="1" applyFont="1">
      <alignment horizontal="left" vertical="center"/>
    </xf>
    <xf borderId="22" fillId="2" fontId="1" numFmtId="0" xfId="0" applyAlignment="1" applyBorder="1" applyFont="1">
      <alignment horizontal="center"/>
    </xf>
    <xf borderId="23" fillId="2" fontId="1" numFmtId="0" xfId="0" applyAlignment="1" applyBorder="1" applyFont="1">
      <alignment horizontal="center"/>
    </xf>
    <xf borderId="24" fillId="2" fontId="1" numFmtId="0" xfId="0" applyAlignment="1" applyBorder="1" applyFont="1">
      <alignment horizontal="center"/>
    </xf>
    <xf borderId="25" fillId="2" fontId="1" numFmtId="0" xfId="0" applyAlignment="1" applyBorder="1" applyFont="1">
      <alignment horizontal="center"/>
    </xf>
    <xf borderId="26" fillId="2" fontId="1" numFmtId="0" xfId="0" applyAlignment="1" applyBorder="1" applyFont="1">
      <alignment horizontal="center"/>
    </xf>
    <xf borderId="27" fillId="2" fontId="1" numFmtId="0" xfId="0" applyAlignment="1" applyBorder="1" applyFont="1">
      <alignment horizontal="center"/>
    </xf>
    <xf borderId="14" fillId="2" fontId="4" numFmtId="0" xfId="0" applyAlignment="1" applyBorder="1" applyFont="1">
      <alignment horizontal="left"/>
    </xf>
    <xf borderId="1" fillId="2" fontId="1" numFmtId="0" xfId="0" applyAlignment="1" applyBorder="1" applyFont="1">
      <alignment horizontal="center"/>
    </xf>
    <xf borderId="1" fillId="2" fontId="1" numFmtId="14" xfId="0" applyAlignment="1" applyBorder="1" applyFont="1" applyNumberFormat="1">
      <alignment readingOrder="0" vertical="center"/>
    </xf>
    <xf borderId="1" fillId="2" fontId="1" numFmtId="0" xfId="0" applyAlignment="1" applyBorder="1" applyFont="1">
      <alignment vertical="center"/>
    </xf>
    <xf borderId="28" fillId="2" fontId="1" numFmtId="0" xfId="0" applyAlignment="1" applyBorder="1" applyFont="1">
      <alignment horizontal="center"/>
    </xf>
    <xf borderId="29" fillId="2" fontId="1" numFmtId="0" xfId="0" applyAlignment="1" applyBorder="1" applyFont="1">
      <alignment horizontal="center"/>
    </xf>
    <xf borderId="1" fillId="2" fontId="5" numFmtId="0" xfId="0" applyBorder="1" applyFont="1"/>
    <xf borderId="30" fillId="2" fontId="4" numFmtId="0" xfId="0" applyBorder="1" applyFont="1"/>
    <xf borderId="14" fillId="2" fontId="6" numFmtId="0" xfId="0" applyBorder="1" applyFont="1"/>
    <xf borderId="31" fillId="2" fontId="4" numFmtId="0" xfId="0" applyAlignment="1" applyBorder="1" applyFont="1">
      <alignment horizontal="center"/>
    </xf>
    <xf borderId="1" fillId="2" fontId="6" numFmtId="0" xfId="0" applyBorder="1" applyFont="1"/>
    <xf borderId="32" fillId="2" fontId="4" numFmtId="0" xfId="0" applyAlignment="1" applyBorder="1" applyFont="1">
      <alignment horizontal="center"/>
    </xf>
    <xf borderId="33" fillId="3" fontId="4" numFmtId="0" xfId="0" applyAlignment="1" applyBorder="1" applyFill="1" applyFont="1">
      <alignment horizontal="center"/>
    </xf>
    <xf borderId="14" fillId="2" fontId="1" numFmtId="0" xfId="0" applyAlignment="1" applyBorder="1" applyFont="1">
      <alignment horizontal="center"/>
    </xf>
    <xf borderId="34" fillId="0" fontId="3" numFmtId="0" xfId="0" applyBorder="1" applyFont="1"/>
    <xf borderId="35" fillId="2" fontId="4" numFmtId="0" xfId="0" applyBorder="1" applyFont="1"/>
    <xf borderId="21" fillId="2" fontId="4" numFmtId="0" xfId="0" applyBorder="1" applyFont="1"/>
    <xf borderId="36" fillId="2" fontId="4" numFmtId="0" xfId="0" applyBorder="1" applyFont="1"/>
    <xf borderId="21" fillId="2" fontId="1" numFmtId="0" xfId="0" applyBorder="1" applyFont="1"/>
    <xf borderId="37" fillId="0" fontId="3" numFmtId="0" xfId="0" applyBorder="1" applyFont="1"/>
    <xf borderId="21" fillId="2" fontId="1" numFmtId="0" xfId="0" applyAlignment="1" applyBorder="1" applyFont="1">
      <alignment readingOrder="0"/>
    </xf>
    <xf borderId="33" fillId="3" fontId="4" numFmtId="0" xfId="0" applyAlignment="1" applyBorder="1" applyFont="1">
      <alignment horizontal="left"/>
    </xf>
    <xf borderId="21" fillId="0" fontId="1" numFmtId="0" xfId="0" applyAlignment="1" applyBorder="1" applyFont="1">
      <alignment readingOrder="0"/>
    </xf>
    <xf borderId="38" fillId="0" fontId="3" numFmtId="0" xfId="0" applyBorder="1" applyFont="1"/>
    <xf borderId="36" fillId="2" fontId="4" numFmtId="0" xfId="0" applyAlignment="1" applyBorder="1" applyFont="1">
      <alignment horizontal="left"/>
    </xf>
    <xf borderId="21" fillId="2" fontId="1" numFmtId="0" xfId="0" applyAlignment="1" applyBorder="1" applyFont="1">
      <alignment horizontal="center" readingOrder="0"/>
    </xf>
    <xf borderId="39" fillId="2" fontId="4" numFmtId="0" xfId="0" applyBorder="1" applyFont="1"/>
    <xf borderId="1" fillId="2" fontId="7" numFmtId="0" xfId="0" applyBorder="1" applyFont="1"/>
    <xf borderId="17" fillId="2" fontId="1" numFmtId="164" xfId="0" applyBorder="1" applyFont="1" applyNumberFormat="1"/>
    <xf borderId="29" fillId="2" fontId="4" numFmtId="0" xfId="0" applyAlignment="1" applyBorder="1" applyFont="1">
      <alignment horizontal="center"/>
    </xf>
    <xf borderId="17" fillId="2" fontId="1" numFmtId="0" xfId="0" applyAlignment="1" applyBorder="1" applyFont="1">
      <alignment readingOrder="0"/>
    </xf>
    <xf borderId="40" fillId="2" fontId="4" numFmtId="0" xfId="0" applyAlignment="1" applyBorder="1" applyFont="1">
      <alignment horizontal="center"/>
    </xf>
    <xf borderId="17" fillId="2" fontId="1" numFmtId="0" xfId="0" applyAlignment="1" applyBorder="1" applyFont="1">
      <alignment horizontal="center" readingOrder="0"/>
    </xf>
    <xf borderId="13" fillId="3" fontId="4" numFmtId="0" xfId="0" applyAlignment="1" applyBorder="1" applyFont="1">
      <alignment horizontal="center"/>
    </xf>
    <xf borderId="1" fillId="2" fontId="4" numFmtId="0" xfId="0" applyBorder="1" applyFont="1"/>
    <xf borderId="21" fillId="0" fontId="1" numFmtId="0" xfId="0" applyAlignment="1" applyBorder="1" applyFont="1">
      <alignment readingOrder="0" shrinkToFit="0" wrapText="1"/>
    </xf>
    <xf borderId="41" fillId="2" fontId="1" numFmtId="0" xfId="0" applyAlignment="1" applyBorder="1" applyFont="1">
      <alignment horizontal="left"/>
    </xf>
    <xf borderId="42" fillId="0" fontId="3" numFmtId="0" xfId="0" applyBorder="1" applyFont="1"/>
    <xf borderId="43" fillId="0" fontId="3" numFmtId="0" xfId="0" applyBorder="1" applyFont="1"/>
    <xf borderId="44" fillId="2" fontId="1" numFmtId="0" xfId="0" applyAlignment="1" applyBorder="1" applyFont="1">
      <alignment readingOrder="0"/>
    </xf>
    <xf borderId="21" fillId="2" fontId="8" numFmtId="164" xfId="0" applyAlignment="1" applyBorder="1" applyFont="1" applyNumberFormat="1">
      <alignment vertical="bottom"/>
    </xf>
    <xf borderId="45" fillId="2" fontId="8" numFmtId="0" xfId="0" applyAlignment="1" applyBorder="1" applyFont="1">
      <alignment vertical="bottom"/>
    </xf>
    <xf borderId="45" fillId="2" fontId="8" numFmtId="0" xfId="0" applyAlignment="1" applyBorder="1" applyFont="1">
      <alignment horizontal="center" vertical="bottom"/>
    </xf>
    <xf borderId="45" fillId="2" fontId="8" numFmtId="0" xfId="0" applyAlignment="1" applyBorder="1" applyFont="1">
      <alignment horizontal="center" vertical="bottom"/>
    </xf>
    <xf borderId="46" fillId="2" fontId="1" numFmtId="2" xfId="0" applyAlignment="1" applyBorder="1" applyFont="1" applyNumberFormat="1">
      <alignment horizontal="center"/>
    </xf>
    <xf borderId="44" fillId="2" fontId="8" numFmtId="164" xfId="0" applyAlignment="1" applyBorder="1" applyFont="1" applyNumberFormat="1">
      <alignment vertical="bottom"/>
    </xf>
    <xf borderId="47" fillId="2" fontId="8" numFmtId="0" xfId="0" applyAlignment="1" applyBorder="1" applyFont="1">
      <alignment vertical="bottom"/>
    </xf>
    <xf borderId="48" fillId="0" fontId="1" numFmtId="165" xfId="0" applyAlignment="1" applyBorder="1" applyFont="1" applyNumberFormat="1">
      <alignment horizontal="center"/>
    </xf>
    <xf borderId="49" fillId="2" fontId="1" numFmtId="0" xfId="0" applyAlignment="1" applyBorder="1" applyFont="1">
      <alignment horizontal="left"/>
    </xf>
    <xf borderId="50" fillId="0" fontId="3" numFmtId="0" xfId="0" applyBorder="1" applyFont="1"/>
    <xf borderId="51" fillId="0" fontId="3" numFmtId="0" xfId="0" applyBorder="1" applyFont="1"/>
    <xf borderId="47" fillId="2" fontId="8" numFmtId="0" xfId="0" applyAlignment="1" applyBorder="1" applyFont="1">
      <alignment horizontal="center" vertical="bottom"/>
    </xf>
    <xf borderId="28" fillId="2" fontId="1" numFmtId="166" xfId="0" applyAlignment="1" applyBorder="1" applyFont="1" applyNumberFormat="1">
      <alignment horizontal="center" readingOrder="0"/>
    </xf>
    <xf borderId="47" fillId="2" fontId="8" numFmtId="0" xfId="0" applyAlignment="1" applyBorder="1" applyFont="1">
      <alignment horizontal="center" vertical="bottom"/>
    </xf>
    <xf borderId="52" fillId="2" fontId="1" numFmtId="0" xfId="0" applyAlignment="1" applyBorder="1" applyFont="1">
      <alignment horizontal="left"/>
    </xf>
    <xf borderId="53" fillId="0" fontId="3" numFmtId="0" xfId="0" applyBorder="1" applyFont="1"/>
    <xf borderId="54" fillId="0" fontId="3" numFmtId="0" xfId="0" applyBorder="1" applyFont="1"/>
    <xf borderId="55" fillId="2" fontId="1" numFmtId="2" xfId="0" applyAlignment="1" applyBorder="1" applyFont="1" applyNumberFormat="1">
      <alignment horizontal="center"/>
    </xf>
    <xf borderId="56" fillId="0" fontId="1" numFmtId="165" xfId="0" applyAlignment="1" applyBorder="1" applyFont="1" applyNumberFormat="1">
      <alignment horizontal="center"/>
    </xf>
    <xf borderId="44" fillId="0" fontId="9" numFmtId="164" xfId="0" applyAlignment="1" applyBorder="1" applyFont="1" applyNumberFormat="1">
      <alignment vertical="bottom"/>
    </xf>
    <xf borderId="57" fillId="2" fontId="1" numFmtId="0" xfId="0" applyAlignment="1" applyBorder="1" applyFont="1">
      <alignment horizontal="left"/>
    </xf>
    <xf borderId="47" fillId="0" fontId="8" numFmtId="0" xfId="0" applyAlignment="1" applyBorder="1" applyFont="1">
      <alignment vertical="bottom"/>
    </xf>
    <xf borderId="58" fillId="0" fontId="3" numFmtId="0" xfId="0" applyBorder="1" applyFont="1"/>
    <xf borderId="59" fillId="0" fontId="3" numFmtId="0" xfId="0" applyBorder="1" applyFont="1"/>
    <xf borderId="44" fillId="2" fontId="1" numFmtId="164" xfId="0" applyBorder="1" applyFont="1" applyNumberFormat="1"/>
    <xf borderId="56" fillId="0" fontId="1" numFmtId="10" xfId="0" applyAlignment="1" applyBorder="1" applyFont="1" applyNumberFormat="1">
      <alignment horizontal="center"/>
    </xf>
    <xf borderId="44" fillId="2" fontId="1" numFmtId="0" xfId="0" applyBorder="1" applyFont="1"/>
    <xf borderId="14" fillId="2" fontId="1" numFmtId="0" xfId="0" applyAlignment="1" applyBorder="1" applyFont="1">
      <alignment horizontal="left"/>
    </xf>
    <xf borderId="17" fillId="2" fontId="1" numFmtId="0" xfId="0" applyBorder="1" applyFont="1"/>
    <xf borderId="60" fillId="2" fontId="1" numFmtId="0" xfId="0" applyAlignment="1" applyBorder="1" applyFont="1">
      <alignment horizontal="left"/>
    </xf>
    <xf borderId="61" fillId="0" fontId="3" numFmtId="0" xfId="0" applyBorder="1" applyFont="1"/>
    <xf borderId="45" fillId="0" fontId="3" numFmtId="0" xfId="0" applyBorder="1" applyFont="1"/>
    <xf borderId="62" fillId="2" fontId="4" numFmtId="0" xfId="0" applyBorder="1" applyFont="1"/>
    <xf borderId="63" fillId="2" fontId="4" numFmtId="0" xfId="0" applyAlignment="1" applyBorder="1" applyFont="1">
      <alignment horizontal="center"/>
    </xf>
    <xf borderId="62" fillId="2" fontId="4" numFmtId="0" xfId="0" applyAlignment="1" applyBorder="1" applyFont="1">
      <alignment horizontal="center"/>
    </xf>
    <xf borderId="49" fillId="2" fontId="4" numFmtId="0" xfId="0" applyAlignment="1" applyBorder="1" applyFont="1">
      <alignment horizontal="center"/>
    </xf>
    <xf borderId="64" fillId="2" fontId="4" numFmtId="166" xfId="0" applyAlignment="1" applyBorder="1" applyFont="1" applyNumberFormat="1">
      <alignment horizontal="center"/>
    </xf>
    <xf borderId="65" fillId="2" fontId="10" numFmtId="165" xfId="0" applyAlignment="1" applyBorder="1" applyFont="1" applyNumberFormat="1">
      <alignment horizontal="center"/>
    </xf>
    <xf borderId="66" fillId="2" fontId="4" numFmtId="0" xfId="0" applyBorder="1" applyFont="1"/>
    <xf borderId="14" fillId="2" fontId="1" numFmtId="0" xfId="0" applyAlignment="1" applyBorder="1" applyFont="1">
      <alignment horizontal="left" shrinkToFit="0" wrapText="1"/>
    </xf>
    <xf borderId="67" fillId="2" fontId="1" numFmtId="0" xfId="0" applyAlignment="1" applyBorder="1" applyFont="1">
      <alignment horizontal="center" shrinkToFit="0" wrapText="1"/>
    </xf>
    <xf borderId="68" fillId="0" fontId="3" numFmtId="0" xfId="0" applyBorder="1" applyFont="1"/>
    <xf borderId="69" fillId="0" fontId="3" numFmtId="0" xfId="0" applyBorder="1" applyFont="1"/>
    <xf borderId="70" fillId="0" fontId="3" numFmtId="0" xfId="0" applyBorder="1" applyFont="1"/>
    <xf borderId="71" fillId="0" fontId="3" numFmtId="0" xfId="0" applyBorder="1" applyFont="1"/>
    <xf borderId="72" fillId="0" fontId="3" numFmtId="0" xfId="0" applyBorder="1" applyFont="1"/>
    <xf borderId="73" fillId="3" fontId="4" numFmtId="0" xfId="0" applyAlignment="1" applyBorder="1" applyFont="1">
      <alignment horizontal="left"/>
    </xf>
    <xf borderId="21" fillId="4" fontId="4" numFmtId="0" xfId="0" applyAlignment="1" applyBorder="1" applyFill="1" applyFont="1">
      <alignment horizontal="center"/>
    </xf>
    <xf borderId="21" fillId="4" fontId="4" numFmtId="0" xfId="0" applyBorder="1" applyFont="1"/>
    <xf borderId="73" fillId="2" fontId="4" numFmtId="0" xfId="0" applyAlignment="1" applyBorder="1" applyFont="1">
      <alignment horizontal="right"/>
    </xf>
    <xf borderId="21" fillId="2" fontId="4" numFmtId="0" xfId="0" applyAlignment="1" applyBorder="1" applyFont="1">
      <alignment horizontal="center"/>
    </xf>
    <xf borderId="74" fillId="0" fontId="3" numFmtId="0" xfId="0" applyBorder="1" applyFont="1"/>
    <xf borderId="75" fillId="3" fontId="1" numFmtId="0" xfId="0" applyBorder="1" applyFont="1"/>
    <xf borderId="76" fillId="3" fontId="1" numFmtId="0" xfId="0" applyBorder="1" applyFont="1"/>
    <xf borderId="17" fillId="4" fontId="4" numFmtId="0" xfId="0" applyAlignment="1" applyBorder="1" applyFont="1">
      <alignment horizontal="center"/>
    </xf>
    <xf borderId="77" fillId="4" fontId="4" numFmtId="0" xfId="0" applyAlignment="1" applyBorder="1" applyFont="1">
      <alignment horizontal="left"/>
    </xf>
    <xf borderId="73" fillId="2" fontId="1" numFmtId="0" xfId="0" applyAlignment="1" applyBorder="1" applyFont="1">
      <alignment horizontal="left"/>
    </xf>
    <xf borderId="3" fillId="2" fontId="11" numFmtId="0" xfId="0" applyAlignment="1" applyBorder="1" applyFont="1">
      <alignment horizontal="center"/>
    </xf>
    <xf borderId="1" fillId="2" fontId="12" numFmtId="0" xfId="0" applyBorder="1" applyFont="1"/>
    <xf borderId="78" fillId="5" fontId="13" numFmtId="0" xfId="0" applyBorder="1" applyFill="1" applyFont="1"/>
    <xf borderId="79" fillId="5" fontId="13" numFmtId="0" xfId="0" applyBorder="1" applyFont="1"/>
    <xf borderId="80" fillId="5" fontId="13" numFmtId="0" xfId="0" applyBorder="1" applyFont="1"/>
    <xf borderId="81" fillId="5" fontId="13" numFmtId="0" xfId="0" applyBorder="1" applyFont="1"/>
    <xf borderId="22" fillId="2" fontId="1" numFmtId="0" xfId="0" applyBorder="1" applyFont="1"/>
    <xf borderId="46" fillId="2" fontId="1" numFmtId="0" xfId="0" applyAlignment="1" applyBorder="1" applyFont="1">
      <alignment horizontal="center"/>
    </xf>
    <xf borderId="27" fillId="2" fontId="1" numFmtId="166" xfId="0" applyAlignment="1" applyBorder="1" applyFont="1" applyNumberFormat="1">
      <alignment horizontal="center"/>
    </xf>
    <xf borderId="82" fillId="2" fontId="1" numFmtId="0" xfId="0" applyAlignment="1" applyBorder="1" applyFont="1">
      <alignment horizontal="center"/>
    </xf>
    <xf borderId="21" fillId="0" fontId="1" numFmtId="0" xfId="0" applyAlignment="1" applyBorder="1" applyFont="1">
      <alignment horizontal="center"/>
    </xf>
    <xf borderId="20" fillId="2" fontId="1" numFmtId="0" xfId="0" applyBorder="1" applyFont="1"/>
    <xf borderId="23" fillId="2" fontId="1" numFmtId="166" xfId="0" applyAlignment="1" applyBorder="1" applyFont="1" applyNumberFormat="1">
      <alignment horizontal="center"/>
    </xf>
    <xf borderId="25" fillId="2" fontId="1" numFmtId="0" xfId="0" applyBorder="1" applyFont="1"/>
    <xf borderId="64" fillId="2" fontId="1" numFmtId="0" xfId="0" applyAlignment="1" applyBorder="1" applyFont="1">
      <alignment horizontal="center"/>
    </xf>
    <xf borderId="28" fillId="2" fontId="1" numFmtId="166" xfId="0" applyAlignment="1" applyBorder="1" applyFont="1" applyNumberFormat="1">
      <alignment horizontal="center"/>
    </xf>
    <xf borderId="12" fillId="2" fontId="1" numFmtId="0" xfId="0" applyAlignment="1" applyBorder="1" applyFont="1">
      <alignment horizontal="center"/>
    </xf>
    <xf borderId="13" fillId="2" fontId="1" numFmtId="0" xfId="0" applyAlignment="1" applyBorder="1" applyFont="1">
      <alignment horizontal="center"/>
    </xf>
    <xf borderId="83" fillId="6" fontId="13" numFmtId="0" xfId="0" applyAlignment="1" applyBorder="1" applyFill="1" applyFont="1">
      <alignment horizontal="center"/>
    </xf>
    <xf borderId="31" fillId="5" fontId="13" numFmtId="166" xfId="0" applyAlignment="1" applyBorder="1" applyFont="1" applyNumberFormat="1">
      <alignment horizontal="center"/>
    </xf>
    <xf borderId="84" fillId="5" fontId="13" numFmtId="0" xfId="0" applyBorder="1" applyFont="1"/>
    <xf borderId="84" fillId="5" fontId="14" numFmtId="0" xfId="0" applyBorder="1" applyFont="1"/>
    <xf borderId="31" fillId="5" fontId="13" numFmtId="0" xfId="0" applyAlignment="1" applyBorder="1" applyFont="1">
      <alignment horizontal="center"/>
    </xf>
    <xf borderId="31" fillId="5" fontId="13" numFmtId="165" xfId="0" applyAlignment="1" applyBorder="1" applyFont="1" applyNumberFormat="1">
      <alignment horizontal="center"/>
    </xf>
    <xf borderId="1" fillId="2" fontId="4" numFmtId="165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3" width="9.14"/>
    <col customWidth="1" min="4" max="4" width="17.71"/>
    <col customWidth="1" min="5" max="8" width="9.14"/>
    <col customWidth="1" min="9" max="9" width="11.57"/>
    <col customWidth="1" min="10" max="10" width="10.57"/>
    <col customWidth="1" min="11" max="13" width="9.14"/>
    <col customWidth="1" min="14" max="26" width="8.71"/>
  </cols>
  <sheetData>
    <row r="1" ht="12.75" customHeight="1"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3"/>
      <c r="B3" s="4" t="s">
        <v>2</v>
      </c>
      <c r="C3" s="6"/>
      <c r="D3" s="6"/>
      <c r="E3" s="6"/>
      <c r="F3" s="6"/>
      <c r="G3" s="6"/>
      <c r="H3" s="6"/>
      <c r="I3" s="6"/>
      <c r="J3" s="8"/>
      <c r="K3" s="3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3"/>
      <c r="B4" s="11"/>
      <c r="C4" s="12"/>
      <c r="D4" s="12"/>
      <c r="E4" s="12"/>
      <c r="F4" s="12"/>
      <c r="G4" s="12"/>
      <c r="H4" s="12"/>
      <c r="I4" s="12"/>
      <c r="J4" s="14"/>
      <c r="K4" s="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9.5" customHeight="1">
      <c r="A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2"/>
      <c r="B6" s="18" t="s">
        <v>7</v>
      </c>
      <c r="C6" s="20"/>
      <c r="D6" s="24" t="s">
        <v>10</v>
      </c>
      <c r="E6" s="26"/>
      <c r="F6" s="26"/>
      <c r="G6" s="26"/>
      <c r="H6" s="26"/>
      <c r="I6" s="20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2"/>
      <c r="B7" s="29" t="s">
        <v>12</v>
      </c>
      <c r="C7" s="20"/>
      <c r="D7" s="24" t="s">
        <v>13</v>
      </c>
      <c r="E7" s="26"/>
      <c r="F7" s="26"/>
      <c r="G7" s="26"/>
      <c r="H7" s="26"/>
      <c r="I7" s="20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2"/>
      <c r="B8" s="36" t="s">
        <v>14</v>
      </c>
      <c r="C8" s="20"/>
      <c r="D8" s="38">
        <v>43620.0</v>
      </c>
      <c r="E8" s="39"/>
      <c r="F8" s="29" t="s">
        <v>16</v>
      </c>
      <c r="G8" s="20"/>
      <c r="H8" s="39" t="s">
        <v>17</v>
      </c>
      <c r="I8" s="39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2"/>
      <c r="C9" s="42"/>
      <c r="D9" s="44"/>
      <c r="E9" s="26"/>
      <c r="F9" s="26"/>
      <c r="G9" s="26"/>
      <c r="H9" s="26"/>
      <c r="I9" s="20"/>
      <c r="J9" s="4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2"/>
      <c r="B12" s="48" t="s">
        <v>20</v>
      </c>
      <c r="C12" s="50"/>
      <c r="D12" s="50"/>
      <c r="E12" s="55"/>
      <c r="G12" s="57" t="s">
        <v>28</v>
      </c>
      <c r="H12" s="50"/>
      <c r="I12" s="59"/>
      <c r="J12" s="69" t="s">
        <v>31</v>
      </c>
      <c r="K12" s="69" t="s">
        <v>36</v>
      </c>
      <c r="M12" s="70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2"/>
      <c r="B13" s="72" t="s">
        <v>38</v>
      </c>
      <c r="C13" s="73"/>
      <c r="D13" s="74"/>
      <c r="E13" s="35">
        <f>(Atores!D10+'RFS ou RFC'!D10)*Fatores!E22*Fatores!G36</f>
        <v>57.8656</v>
      </c>
      <c r="G13" s="72" t="s">
        <v>50</v>
      </c>
      <c r="H13" s="73"/>
      <c r="I13" s="74"/>
      <c r="J13" s="80">
        <f t="shared" ref="J13:J20" si="1">$E$13*$E$14*K13</f>
        <v>21.60315733</v>
      </c>
      <c r="K13" s="83">
        <f>dadoshistoricos!E31</f>
        <v>0.04666666667</v>
      </c>
      <c r="M13" s="1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2"/>
      <c r="B14" s="84" t="s">
        <v>54</v>
      </c>
      <c r="C14" s="85"/>
      <c r="D14" s="86"/>
      <c r="E14" s="88">
        <v>8.0</v>
      </c>
      <c r="G14" s="90" t="s">
        <v>55</v>
      </c>
      <c r="H14" s="91"/>
      <c r="I14" s="92"/>
      <c r="J14" s="93">
        <f t="shared" si="1"/>
        <v>76.12541156</v>
      </c>
      <c r="K14" s="94">
        <f>dadoshistoricos!F31*0.8</f>
        <v>0.1644444444</v>
      </c>
      <c r="M14" s="1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2"/>
      <c r="B15" s="96"/>
      <c r="C15" s="98"/>
      <c r="D15" s="99"/>
      <c r="G15" s="90" t="s">
        <v>84</v>
      </c>
      <c r="H15" s="91"/>
      <c r="I15" s="92"/>
      <c r="J15" s="93">
        <f t="shared" si="1"/>
        <v>19.03135289</v>
      </c>
      <c r="K15" s="101">
        <f>dadoshistoricos!F31*0.2</f>
        <v>0.04111111111</v>
      </c>
      <c r="M15" s="1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2"/>
      <c r="B16" s="103"/>
      <c r="C16" s="26"/>
      <c r="D16" s="20"/>
      <c r="G16" s="90" t="s">
        <v>88</v>
      </c>
      <c r="H16" s="91"/>
      <c r="I16" s="92"/>
      <c r="J16" s="93">
        <f t="shared" si="1"/>
        <v>30.86165333</v>
      </c>
      <c r="K16" s="101">
        <f>dadoshistoricos!G31</f>
        <v>0.06666666667</v>
      </c>
      <c r="L16" s="1"/>
      <c r="M16" s="1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2"/>
      <c r="G17" s="105" t="s">
        <v>89</v>
      </c>
      <c r="H17" s="106"/>
      <c r="I17" s="107"/>
      <c r="J17" s="93">
        <f t="shared" si="1"/>
        <v>257.1804444</v>
      </c>
      <c r="K17" s="101">
        <f>dadoshistoricos!H31</f>
        <v>0.5555555556</v>
      </c>
      <c r="L17" s="1"/>
      <c r="M17" s="70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2"/>
      <c r="G18" s="105" t="s">
        <v>90</v>
      </c>
      <c r="H18" s="106"/>
      <c r="I18" s="107"/>
      <c r="J18" s="93">
        <f t="shared" si="1"/>
        <v>10.28721778</v>
      </c>
      <c r="K18" s="101">
        <f>dadoshistoricos!I31</f>
        <v>0.02222222222</v>
      </c>
      <c r="L18" s="1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2"/>
      <c r="E19" s="1"/>
      <c r="F19" s="1"/>
      <c r="G19" s="105" t="s">
        <v>91</v>
      </c>
      <c r="H19" s="106"/>
      <c r="I19" s="107"/>
      <c r="J19" s="93">
        <f t="shared" si="1"/>
        <v>31.37601422</v>
      </c>
      <c r="K19" s="101">
        <f>dadoshistoricos!J31</f>
        <v>0.06777777778</v>
      </c>
      <c r="L19" s="1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G20" s="105" t="s">
        <v>92</v>
      </c>
      <c r="H20" s="106"/>
      <c r="I20" s="107"/>
      <c r="J20" s="93">
        <f t="shared" si="1"/>
        <v>16.45954844</v>
      </c>
      <c r="K20" s="101">
        <f>dadoshistoricos!K31</f>
        <v>0.03555555556</v>
      </c>
      <c r="L20" s="1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G21" s="111" t="s">
        <v>93</v>
      </c>
      <c r="H21" s="85"/>
      <c r="I21" s="86"/>
      <c r="J21" s="112">
        <f t="shared" ref="J21:K21" si="2">SUM(J13:J20)</f>
        <v>462.9248</v>
      </c>
      <c r="K21" s="113">
        <f t="shared" si="2"/>
        <v>1</v>
      </c>
      <c r="L21" s="1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K22" s="2"/>
      <c r="L22" s="1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114" t="s">
        <v>94</v>
      </c>
      <c r="C23" s="114"/>
      <c r="D23" s="114"/>
      <c r="E23" s="114"/>
      <c r="F23" s="114"/>
      <c r="K23" s="2"/>
      <c r="L23" s="1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K24" s="2"/>
      <c r="L24" s="1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103" t="s">
        <v>95</v>
      </c>
      <c r="C25" s="26"/>
      <c r="D25" s="26"/>
      <c r="E25" s="26"/>
      <c r="F25" s="26"/>
      <c r="G25" s="26"/>
      <c r="H25" s="26"/>
      <c r="I25" s="26"/>
      <c r="J25" s="20"/>
      <c r="K25" s="2"/>
      <c r="L25" s="1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115" t="s">
        <v>96</v>
      </c>
      <c r="C26" s="26"/>
      <c r="D26" s="26"/>
      <c r="E26" s="26"/>
      <c r="F26" s="26"/>
      <c r="G26" s="26"/>
      <c r="H26" s="26"/>
      <c r="I26" s="20"/>
      <c r="J26" s="2"/>
      <c r="K26" s="2"/>
      <c r="L26" s="1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1" t="s">
        <v>97</v>
      </c>
      <c r="K27" s="2"/>
      <c r="L27" s="1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1" t="s">
        <v>98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1" t="s">
        <v>99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116" t="s">
        <v>100</v>
      </c>
      <c r="C31" s="117"/>
      <c r="D31" s="117"/>
      <c r="E31" s="117"/>
      <c r="F31" s="117"/>
      <c r="G31" s="117"/>
      <c r="H31" s="117"/>
      <c r="I31" s="117"/>
      <c r="J31" s="118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119"/>
      <c r="C32" s="120"/>
      <c r="D32" s="120"/>
      <c r="E32" s="120"/>
      <c r="F32" s="120"/>
      <c r="G32" s="120"/>
      <c r="H32" s="120"/>
      <c r="I32" s="120"/>
      <c r="J32" s="121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3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B7:C7"/>
    <mergeCell ref="F8:G8"/>
    <mergeCell ref="B8:C8"/>
    <mergeCell ref="B14:D14"/>
    <mergeCell ref="G14:I14"/>
    <mergeCell ref="G12:I12"/>
    <mergeCell ref="G13:I13"/>
    <mergeCell ref="B6:C6"/>
    <mergeCell ref="D6:I6"/>
    <mergeCell ref="G16:I16"/>
    <mergeCell ref="G15:I15"/>
    <mergeCell ref="G20:I20"/>
    <mergeCell ref="G18:I18"/>
    <mergeCell ref="G19:I19"/>
    <mergeCell ref="G17:I17"/>
    <mergeCell ref="B31:J32"/>
    <mergeCell ref="G21:I21"/>
    <mergeCell ref="B25:J25"/>
    <mergeCell ref="B26:I26"/>
    <mergeCell ref="B15:D15"/>
    <mergeCell ref="B12:E12"/>
    <mergeCell ref="B13:D13"/>
    <mergeCell ref="D9:I9"/>
    <mergeCell ref="B3:J4"/>
    <mergeCell ref="D7:I7"/>
    <mergeCell ref="B16:D16"/>
  </mergeCells>
  <printOptions/>
  <pageMargins bottom="0.984027777777778" footer="0.0" header="0.0" left="0.39375" right="0.39375" top="0.984027777777778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9.71"/>
    <col customWidth="1" min="3" max="3" width="16.71"/>
    <col customWidth="1" min="4" max="4" width="12.71"/>
    <col customWidth="1" min="5" max="5" width="9.14"/>
    <col customWidth="1" min="6" max="6" width="17.86"/>
    <col customWidth="1" min="7" max="7" width="4.71"/>
    <col customWidth="1" min="8" max="12" width="9.14"/>
    <col customWidth="1" min="13" max="24" width="8.71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2.75" customHeight="1">
      <c r="A2" s="1"/>
      <c r="B2" s="5" t="s">
        <v>1</v>
      </c>
      <c r="C2" s="7"/>
      <c r="D2" s="9"/>
      <c r="E2" s="10"/>
      <c r="F2" s="1"/>
      <c r="G2" s="1"/>
      <c r="H2" s="1"/>
      <c r="I2" s="1"/>
      <c r="J2" s="1"/>
      <c r="K2" s="1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12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2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ht="12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ht="12.75" customHeight="1">
      <c r="A6" s="1"/>
      <c r="B6" s="17" t="s">
        <v>6</v>
      </c>
      <c r="C6" s="15" t="s">
        <v>4</v>
      </c>
      <c r="D6" s="19" t="s">
        <v>8</v>
      </c>
      <c r="E6" s="1"/>
      <c r="F6" s="1"/>
      <c r="G6" s="1"/>
      <c r="H6" s="1"/>
      <c r="I6" s="1"/>
      <c r="J6" s="1"/>
      <c r="K6" s="1"/>
      <c r="L6" s="1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ht="12.75" customHeight="1">
      <c r="A7" s="1"/>
      <c r="B7" s="21" t="s">
        <v>9</v>
      </c>
      <c r="C7" s="22">
        <v>1.0</v>
      </c>
      <c r="D7" s="25">
        <f>COUNTIF(Atores,B7)</f>
        <v>0</v>
      </c>
      <c r="E7" s="1"/>
      <c r="F7" s="1"/>
      <c r="G7" s="1"/>
      <c r="H7" s="1"/>
      <c r="I7" s="1"/>
      <c r="J7" s="1"/>
      <c r="K7" s="1"/>
      <c r="L7" s="1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ht="12.75" customHeight="1">
      <c r="A8" s="1"/>
      <c r="B8" s="27" t="s">
        <v>11</v>
      </c>
      <c r="C8" s="28">
        <v>2.0</v>
      </c>
      <c r="D8" s="31">
        <f>COUNTIF(Atores,B8)</f>
        <v>0</v>
      </c>
      <c r="E8" s="1"/>
      <c r="F8" s="1"/>
      <c r="G8" s="1"/>
      <c r="H8" s="1"/>
      <c r="I8" s="1"/>
      <c r="J8" s="1"/>
      <c r="K8" s="1"/>
      <c r="L8" s="1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ht="12.75" customHeight="1">
      <c r="A9" s="1"/>
      <c r="B9" s="33" t="s">
        <v>15</v>
      </c>
      <c r="C9" s="34">
        <v>3.0</v>
      </c>
      <c r="D9" s="40">
        <f>COUNTIF(Atores,B9)</f>
        <v>4</v>
      </c>
      <c r="E9" s="1"/>
      <c r="F9" s="1"/>
      <c r="G9" s="1"/>
      <c r="H9" s="1"/>
      <c r="I9" s="1"/>
      <c r="J9" s="1"/>
      <c r="K9" s="1"/>
      <c r="L9" s="1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ht="12.75" customHeight="1">
      <c r="A10" s="1"/>
      <c r="B10" s="1"/>
      <c r="C10" s="43" t="s">
        <v>18</v>
      </c>
      <c r="D10" s="45">
        <f>(C7*D7)+(C8*D8)+(C9*D9)</f>
        <v>12</v>
      </c>
      <c r="E10" s="1"/>
      <c r="F10" s="1"/>
      <c r="G10" s="1"/>
      <c r="H10" s="1"/>
      <c r="I10" s="1"/>
      <c r="J10" s="1"/>
      <c r="K10" s="1"/>
      <c r="L10" s="1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ht="12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ht="12.75" customHeight="1">
      <c r="A12" s="2"/>
      <c r="D12" s="2"/>
      <c r="E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ht="12.75" customHeight="1">
      <c r="A13" s="2"/>
      <c r="B13" s="52" t="s">
        <v>21</v>
      </c>
      <c r="C13" s="52" t="s">
        <v>24</v>
      </c>
      <c r="D13" s="2"/>
      <c r="E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ht="12.75" customHeight="1">
      <c r="A14" s="2"/>
      <c r="B14" s="54" t="s">
        <v>25</v>
      </c>
      <c r="C14" s="28" t="s">
        <v>15</v>
      </c>
      <c r="D14" s="2"/>
      <c r="E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ht="12.75" customHeight="1">
      <c r="A15" s="2"/>
      <c r="B15" s="56" t="s">
        <v>27</v>
      </c>
      <c r="C15" s="28" t="s">
        <v>15</v>
      </c>
      <c r="D15" s="2"/>
      <c r="E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ht="12.75" customHeight="1">
      <c r="A16" s="2"/>
      <c r="B16" s="58" t="s">
        <v>29</v>
      </c>
      <c r="C16" s="28" t="s">
        <v>15</v>
      </c>
      <c r="D16" s="2"/>
      <c r="E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ht="12.75" customHeight="1">
      <c r="A17" s="2"/>
      <c r="B17" s="56" t="s">
        <v>30</v>
      </c>
      <c r="C17" s="61" t="s">
        <v>15</v>
      </c>
      <c r="D17" s="2"/>
      <c r="E17" s="2"/>
      <c r="F17" s="63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ht="12.75" customHeight="1">
      <c r="A18" s="2"/>
      <c r="B18" s="65" t="s">
        <v>34</v>
      </c>
      <c r="C18" s="67">
        <f>D10</f>
        <v>12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ht="12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D2"/>
  </mergeCells>
  <dataValidations>
    <dataValidation type="list" allowBlank="1" showErrorMessage="1" sqref="C14:C17">
      <formula1>"Simples,Médio,Complexo"</formula1>
    </dataValidation>
  </dataValidations>
  <printOptions/>
  <pageMargins bottom="0.984027777777778" footer="0.0" header="0.0" left="0.7875" right="0.7875" top="0.984027777777778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61.71"/>
    <col customWidth="1" min="3" max="3" width="16.71"/>
    <col customWidth="1" min="4" max="4" width="18.14"/>
    <col customWidth="1" min="5" max="5" width="81.29"/>
    <col customWidth="1" min="6" max="6" width="9.43"/>
    <col customWidth="1" min="7" max="7" width="72.0"/>
    <col customWidth="1" min="8" max="14" width="9.14"/>
    <col customWidth="1" hidden="1" min="15" max="15" width="11.57"/>
    <col customWidth="1" min="16" max="26" width="8.71"/>
  </cols>
  <sheetData>
    <row r="1" ht="12.75" customHeight="1">
      <c r="A1" s="1"/>
      <c r="B1" s="1"/>
      <c r="C1" s="1"/>
      <c r="D1" s="1"/>
      <c r="E1" s="1"/>
      <c r="I1" s="2"/>
      <c r="J1" s="2"/>
      <c r="K1" s="2"/>
      <c r="L1" s="2"/>
      <c r="M1" s="2"/>
      <c r="N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B2" s="5" t="s">
        <v>0</v>
      </c>
      <c r="C2" s="7"/>
      <c r="D2" s="9"/>
      <c r="E2" s="10"/>
      <c r="F2" s="10"/>
      <c r="G2" s="10"/>
      <c r="I2" s="2"/>
      <c r="J2" s="2"/>
      <c r="K2" s="2"/>
      <c r="L2" s="2"/>
      <c r="M2" s="2"/>
      <c r="N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F3" s="2"/>
      <c r="G3" s="2"/>
      <c r="I3" s="2"/>
      <c r="J3" s="2"/>
      <c r="K3" s="2"/>
      <c r="L3" s="2"/>
      <c r="M3" s="2"/>
      <c r="N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F4" s="2"/>
      <c r="G4" s="2"/>
      <c r="I4" s="2"/>
      <c r="J4" s="2"/>
      <c r="K4" s="2"/>
      <c r="L4" s="2"/>
      <c r="M4" s="2"/>
      <c r="N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F5" s="2"/>
      <c r="G5" s="2"/>
      <c r="I5" s="2"/>
      <c r="J5" s="2"/>
      <c r="K5" s="2"/>
      <c r="L5" s="2"/>
      <c r="M5" s="2"/>
      <c r="N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B6" s="13" t="s">
        <v>3</v>
      </c>
      <c r="C6" s="15" t="s">
        <v>4</v>
      </c>
      <c r="D6" s="16" t="s">
        <v>5</v>
      </c>
      <c r="E6" s="23"/>
      <c r="F6" s="2"/>
      <c r="G6" s="2"/>
      <c r="I6" s="2"/>
      <c r="J6" s="2"/>
      <c r="K6" s="2"/>
      <c r="L6" s="2"/>
      <c r="M6" s="2"/>
      <c r="N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B7" s="30" t="s">
        <v>9</v>
      </c>
      <c r="C7" s="32">
        <v>3.0</v>
      </c>
      <c r="D7" s="35">
        <f>COUNTIF(CUC,B7)</f>
        <v>13</v>
      </c>
      <c r="E7" s="37"/>
      <c r="F7" s="2"/>
      <c r="G7" s="2"/>
      <c r="I7" s="2"/>
      <c r="J7" s="2"/>
      <c r="K7" s="2"/>
      <c r="L7" s="2"/>
      <c r="M7" s="2"/>
      <c r="N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B8" s="27" t="s">
        <v>11</v>
      </c>
      <c r="C8" s="28">
        <v>4.0</v>
      </c>
      <c r="D8" s="25">
        <f>COUNTIF(CUC,B8)</f>
        <v>2</v>
      </c>
      <c r="E8" s="37"/>
      <c r="F8" s="2"/>
      <c r="G8" s="2"/>
      <c r="I8" s="2"/>
      <c r="J8" s="2"/>
      <c r="K8" s="2"/>
      <c r="L8" s="2"/>
      <c r="M8" s="2"/>
      <c r="N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B9" s="33" t="s">
        <v>15</v>
      </c>
      <c r="C9" s="41">
        <v>5.0</v>
      </c>
      <c r="D9" s="25">
        <f>COUNTIF(CUC,B9)</f>
        <v>1</v>
      </c>
      <c r="E9" s="37"/>
      <c r="F9" s="2"/>
      <c r="G9" s="2"/>
      <c r="I9" s="2"/>
      <c r="J9" s="2"/>
      <c r="K9" s="2"/>
      <c r="L9" s="2"/>
      <c r="M9" s="2"/>
      <c r="N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C10" s="45" t="s">
        <v>19</v>
      </c>
      <c r="D10" s="47">
        <f>(C7*D7)+(C8*D8)+(C9*D9)</f>
        <v>52</v>
      </c>
      <c r="F10" s="2"/>
      <c r="G10" s="2"/>
      <c r="I10" s="2"/>
      <c r="J10" s="2"/>
      <c r="K10" s="2"/>
      <c r="L10" s="2"/>
      <c r="M10" s="2"/>
      <c r="N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49"/>
      <c r="B11" s="26"/>
      <c r="C11" s="20"/>
      <c r="F11" s="2"/>
      <c r="G11" s="2"/>
      <c r="I11" s="2"/>
      <c r="J11" s="2"/>
      <c r="K11" s="2"/>
      <c r="L11" s="2"/>
      <c r="M11" s="2"/>
      <c r="N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51" t="s">
        <v>22</v>
      </c>
      <c r="B12" s="53" t="s">
        <v>23</v>
      </c>
      <c r="C12" s="60" t="s">
        <v>26</v>
      </c>
      <c r="D12" s="53" t="s">
        <v>24</v>
      </c>
      <c r="E12" s="62" t="s">
        <v>32</v>
      </c>
      <c r="F12" s="2"/>
      <c r="G12" s="2"/>
      <c r="I12" s="2"/>
      <c r="J12" s="2"/>
      <c r="K12" s="2"/>
      <c r="L12" s="2"/>
      <c r="M12" s="2"/>
      <c r="N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64" t="s">
        <v>33</v>
      </c>
      <c r="B13" s="66" t="s">
        <v>35</v>
      </c>
      <c r="C13" s="68">
        <v>1.0</v>
      </c>
      <c r="D13" s="22" t="str">
        <f>IF(C13&lt;4,"Simples",(IF(C13&gt;5,"Complexo","Médio")))</f>
        <v>Simples</v>
      </c>
      <c r="E13" s="66" t="s">
        <v>37</v>
      </c>
      <c r="F13" s="2"/>
      <c r="G13" s="2"/>
      <c r="I13" s="2"/>
      <c r="J13" s="2"/>
      <c r="K13" s="2"/>
      <c r="L13" s="2"/>
      <c r="M13" s="2"/>
      <c r="N13" s="2"/>
      <c r="O13" s="1">
        <v>1.0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64" t="s">
        <v>39</v>
      </c>
      <c r="B14" s="71" t="s">
        <v>40</v>
      </c>
      <c r="C14" s="68">
        <v>7.0</v>
      </c>
      <c r="D14" s="68" t="s">
        <v>15</v>
      </c>
      <c r="E14" s="66" t="s">
        <v>41</v>
      </c>
      <c r="F14" s="2"/>
      <c r="G14" s="2"/>
      <c r="I14" s="2"/>
      <c r="J14" s="2"/>
      <c r="K14" s="2"/>
      <c r="L14" s="2"/>
      <c r="M14" s="2"/>
      <c r="N14" s="2"/>
      <c r="O14" s="1">
        <v>2.0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64" t="s">
        <v>42</v>
      </c>
      <c r="B15" s="56" t="s">
        <v>43</v>
      </c>
      <c r="C15" s="68">
        <v>3.0</v>
      </c>
      <c r="D15" s="22" t="s">
        <v>9</v>
      </c>
      <c r="E15" s="66" t="s">
        <v>44</v>
      </c>
      <c r="F15" s="2"/>
      <c r="G15" s="2"/>
      <c r="I15" s="2"/>
      <c r="J15" s="2"/>
      <c r="K15" s="2"/>
      <c r="L15" s="2"/>
      <c r="M15" s="2"/>
      <c r="N15" s="2"/>
      <c r="O15" s="1">
        <v>3.0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64" t="s">
        <v>45</v>
      </c>
      <c r="B16" s="75" t="s">
        <v>46</v>
      </c>
      <c r="C16" s="68">
        <v>2.0</v>
      </c>
      <c r="D16" s="22" t="s">
        <v>9</v>
      </c>
      <c r="E16" s="66" t="s">
        <v>47</v>
      </c>
      <c r="F16" s="2"/>
      <c r="G16" s="2"/>
      <c r="I16" s="2"/>
      <c r="J16" s="2"/>
      <c r="K16" s="2"/>
      <c r="L16" s="2"/>
      <c r="M16" s="2"/>
      <c r="N16" s="2"/>
      <c r="O16" s="1">
        <v>4.0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76" t="s">
        <v>48</v>
      </c>
      <c r="B17" s="77" t="s">
        <v>49</v>
      </c>
      <c r="C17" s="78">
        <v>3.0</v>
      </c>
      <c r="D17" s="79" t="s">
        <v>9</v>
      </c>
      <c r="E17" s="77" t="s">
        <v>51</v>
      </c>
      <c r="F17" s="2"/>
      <c r="G17" s="2"/>
      <c r="I17" s="2"/>
      <c r="J17" s="2"/>
      <c r="K17" s="2"/>
      <c r="L17" s="2"/>
      <c r="M17" s="2"/>
      <c r="N17" s="2"/>
      <c r="O17" s="1">
        <v>5.0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81" t="s">
        <v>52</v>
      </c>
      <c r="B18" s="82" t="s">
        <v>53</v>
      </c>
      <c r="C18" s="87">
        <v>1.0</v>
      </c>
      <c r="D18" s="89" t="s">
        <v>9</v>
      </c>
      <c r="E18" s="82" t="s">
        <v>56</v>
      </c>
      <c r="F18" s="2"/>
      <c r="G18" s="2"/>
      <c r="H18" s="1"/>
      <c r="I18" s="2"/>
      <c r="J18" s="2"/>
      <c r="K18" s="2"/>
      <c r="L18" s="2"/>
      <c r="M18" s="2"/>
      <c r="N18" s="2"/>
      <c r="O18" s="1">
        <v>6.0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81" t="s">
        <v>57</v>
      </c>
      <c r="B19" s="82" t="s">
        <v>58</v>
      </c>
      <c r="C19" s="87">
        <v>2.0</v>
      </c>
      <c r="D19" s="89" t="s">
        <v>9</v>
      </c>
      <c r="E19" s="82" t="s">
        <v>59</v>
      </c>
      <c r="F19" s="2"/>
      <c r="G19" s="2"/>
      <c r="H19" s="1"/>
      <c r="I19" s="2"/>
      <c r="J19" s="2"/>
      <c r="K19" s="2"/>
      <c r="L19" s="2"/>
      <c r="M19" s="2"/>
      <c r="N19" s="2"/>
      <c r="O19" s="1">
        <v>7.0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81" t="s">
        <v>60</v>
      </c>
      <c r="B20" s="82" t="s">
        <v>61</v>
      </c>
      <c r="C20" s="87">
        <v>2.0</v>
      </c>
      <c r="D20" s="89" t="s">
        <v>9</v>
      </c>
      <c r="E20" s="82" t="s">
        <v>62</v>
      </c>
      <c r="F20" s="2"/>
      <c r="G20" s="2"/>
      <c r="H20" s="1"/>
      <c r="I20" s="2"/>
      <c r="J20" s="2"/>
      <c r="K20" s="2"/>
      <c r="L20" s="2"/>
      <c r="M20" s="2"/>
      <c r="N20" s="2"/>
      <c r="O20" s="1">
        <v>8.0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81" t="s">
        <v>63</v>
      </c>
      <c r="B21" s="82" t="s">
        <v>64</v>
      </c>
      <c r="C21" s="87">
        <v>4.0</v>
      </c>
      <c r="D21" s="87" t="s">
        <v>11</v>
      </c>
      <c r="E21" s="82" t="s">
        <v>65</v>
      </c>
      <c r="F21" s="2"/>
      <c r="G21" s="2"/>
      <c r="H21" s="1"/>
      <c r="I21" s="2"/>
      <c r="J21" s="2"/>
      <c r="K21" s="2"/>
      <c r="L21" s="2"/>
      <c r="M21" s="2"/>
      <c r="N21" s="2"/>
      <c r="O21" s="1">
        <v>9.0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81" t="s">
        <v>66</v>
      </c>
      <c r="B22" s="82" t="s">
        <v>67</v>
      </c>
      <c r="C22" s="87">
        <v>2.0</v>
      </c>
      <c r="D22" s="87" t="s">
        <v>9</v>
      </c>
      <c r="E22" s="82" t="s">
        <v>68</v>
      </c>
      <c r="F22" s="2"/>
      <c r="G22" s="2"/>
      <c r="H22" s="1"/>
      <c r="I22" s="2"/>
      <c r="J22" s="2"/>
      <c r="K22" s="2"/>
      <c r="L22" s="2"/>
      <c r="M22" s="2"/>
      <c r="N22" s="2"/>
      <c r="O22" s="1">
        <v>10.0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81" t="s">
        <v>69</v>
      </c>
      <c r="B23" s="82" t="s">
        <v>70</v>
      </c>
      <c r="C23" s="87">
        <v>1.0</v>
      </c>
      <c r="D23" s="87" t="s">
        <v>9</v>
      </c>
      <c r="E23" s="82" t="s">
        <v>71</v>
      </c>
      <c r="F23" s="2"/>
      <c r="G23" s="2"/>
      <c r="H23" s="2"/>
      <c r="I23" s="2"/>
      <c r="J23" s="2"/>
      <c r="K23" s="2"/>
      <c r="L23" s="2"/>
      <c r="M23" s="2"/>
      <c r="N23" s="2"/>
      <c r="O23" s="1">
        <v>11.0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81" t="s">
        <v>72</v>
      </c>
      <c r="B24" s="82" t="s">
        <v>73</v>
      </c>
      <c r="C24" s="87">
        <v>2.0</v>
      </c>
      <c r="D24" s="87" t="s">
        <v>9</v>
      </c>
      <c r="E24" s="82" t="s">
        <v>74</v>
      </c>
      <c r="F24" s="2"/>
      <c r="G24" s="2"/>
      <c r="H24" s="2"/>
      <c r="I24" s="2"/>
      <c r="J24" s="2"/>
      <c r="K24" s="2"/>
      <c r="L24" s="2"/>
      <c r="M24" s="2"/>
      <c r="N24" s="2"/>
      <c r="O24" s="1">
        <v>12.0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81" t="s">
        <v>75</v>
      </c>
      <c r="B25" s="82" t="s">
        <v>76</v>
      </c>
      <c r="C25" s="87">
        <v>4.0</v>
      </c>
      <c r="D25" s="87" t="s">
        <v>11</v>
      </c>
      <c r="E25" s="82" t="s">
        <v>77</v>
      </c>
      <c r="F25" s="2"/>
      <c r="G25" s="2"/>
      <c r="H25" s="2"/>
      <c r="I25" s="2"/>
      <c r="J25" s="2"/>
      <c r="K25" s="2"/>
      <c r="L25" s="2"/>
      <c r="M25" s="2"/>
      <c r="N25" s="2"/>
      <c r="O25" s="1">
        <v>13.0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95" t="s">
        <v>78</v>
      </c>
      <c r="B26" s="97" t="s">
        <v>79</v>
      </c>
      <c r="C26" s="87">
        <v>1.0</v>
      </c>
      <c r="D26" s="87" t="s">
        <v>9</v>
      </c>
      <c r="E26" s="82" t="s">
        <v>80</v>
      </c>
      <c r="F26" s="2"/>
      <c r="G26" s="2"/>
      <c r="H26" s="2"/>
      <c r="I26" s="2"/>
      <c r="J26" s="2"/>
      <c r="K26" s="2"/>
      <c r="L26" s="2"/>
      <c r="M26" s="2"/>
      <c r="N26" s="2"/>
      <c r="O26" s="1">
        <v>14.0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0" customHeight="1">
      <c r="A27" s="95" t="s">
        <v>81</v>
      </c>
      <c r="B27" s="97" t="s">
        <v>82</v>
      </c>
      <c r="C27" s="87">
        <v>2.0</v>
      </c>
      <c r="D27" s="87" t="s">
        <v>9</v>
      </c>
      <c r="E27" s="82" t="s">
        <v>83</v>
      </c>
      <c r="F27" s="2"/>
      <c r="G27" s="2"/>
      <c r="H27" s="2"/>
      <c r="I27" s="2"/>
      <c r="J27" s="2"/>
      <c r="K27" s="2"/>
      <c r="L27" s="2"/>
      <c r="M27" s="2"/>
      <c r="N27" s="2"/>
      <c r="O27" s="1">
        <v>15.0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95" t="s">
        <v>85</v>
      </c>
      <c r="B28" s="97" t="s">
        <v>86</v>
      </c>
      <c r="C28" s="87">
        <v>3.0</v>
      </c>
      <c r="D28" s="87" t="s">
        <v>9</v>
      </c>
      <c r="E28" s="82" t="s">
        <v>87</v>
      </c>
      <c r="F28" s="2"/>
      <c r="G28" s="2"/>
      <c r="H28" s="2"/>
      <c r="I28" s="2"/>
      <c r="J28" s="2"/>
      <c r="K28" s="2"/>
      <c r="L28" s="2"/>
      <c r="M28" s="2"/>
      <c r="N28" s="2"/>
      <c r="O28" s="1">
        <v>16.0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100"/>
      <c r="B29" s="102"/>
      <c r="C29" s="22"/>
      <c r="D29" s="22"/>
      <c r="E29" s="104"/>
      <c r="F29" s="2"/>
      <c r="G29" s="2"/>
      <c r="H29" s="2"/>
      <c r="I29" s="2"/>
      <c r="J29" s="2"/>
      <c r="K29" s="2"/>
      <c r="L29" s="2"/>
      <c r="M29" s="2"/>
      <c r="N29" s="2"/>
      <c r="O29" s="1">
        <v>17.0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64"/>
      <c r="B30" s="104"/>
      <c r="C30" s="22"/>
      <c r="D30" s="22"/>
      <c r="E30" s="104"/>
      <c r="F30" s="2"/>
      <c r="G30" s="2"/>
      <c r="H30" s="2"/>
      <c r="I30" s="2"/>
      <c r="J30" s="2"/>
      <c r="K30" s="2"/>
      <c r="L30" s="2"/>
      <c r="M30" s="2"/>
      <c r="N30" s="2"/>
      <c r="O30" s="1">
        <v>18.0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64"/>
      <c r="B31" s="104"/>
      <c r="C31" s="22"/>
      <c r="D31" s="22"/>
      <c r="E31" s="104"/>
      <c r="F31" s="2"/>
      <c r="G31" s="2"/>
      <c r="H31" s="2"/>
      <c r="I31" s="2"/>
      <c r="J31" s="2"/>
      <c r="K31" s="2"/>
      <c r="L31" s="2"/>
      <c r="M31" s="2"/>
      <c r="N31" s="2"/>
      <c r="O31" s="1">
        <v>19.0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64"/>
      <c r="B32" s="104"/>
      <c r="C32" s="22"/>
      <c r="D32" s="22"/>
      <c r="E32" s="104"/>
      <c r="F32" s="2"/>
      <c r="G32" s="2"/>
      <c r="H32" s="2"/>
      <c r="I32" s="2"/>
      <c r="J32" s="2"/>
      <c r="K32" s="2"/>
      <c r="L32" s="2"/>
      <c r="M32" s="2"/>
      <c r="N32" s="2"/>
      <c r="O32" s="1">
        <v>21.0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64"/>
      <c r="B33" s="104"/>
      <c r="C33" s="22"/>
      <c r="D33" s="22"/>
      <c r="E33" s="104"/>
      <c r="F33" s="2"/>
      <c r="G33" s="2"/>
      <c r="H33" s="2"/>
      <c r="I33" s="2"/>
      <c r="J33" s="2"/>
      <c r="K33" s="2"/>
      <c r="L33" s="2"/>
      <c r="M33" s="2"/>
      <c r="N33" s="2"/>
      <c r="O33" s="1">
        <v>22.0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64"/>
      <c r="B34" s="104"/>
      <c r="C34" s="22"/>
      <c r="D34" s="22"/>
      <c r="E34" s="104"/>
      <c r="F34" s="2"/>
      <c r="G34" s="2"/>
      <c r="H34" s="2"/>
      <c r="I34" s="2"/>
      <c r="J34" s="2"/>
      <c r="K34" s="2"/>
      <c r="L34" s="2"/>
      <c r="M34" s="2"/>
      <c r="N34" s="2"/>
      <c r="O34" s="1">
        <v>23.0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64"/>
      <c r="B35" s="104"/>
      <c r="C35" s="22"/>
      <c r="D35" s="22"/>
      <c r="E35" s="104"/>
      <c r="F35" s="2"/>
      <c r="G35" s="2"/>
      <c r="H35" s="2"/>
      <c r="I35" s="2"/>
      <c r="J35" s="2"/>
      <c r="K35" s="2"/>
      <c r="L35" s="2"/>
      <c r="M35" s="2"/>
      <c r="N35" s="2"/>
      <c r="O35" s="1">
        <v>24.0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64"/>
      <c r="B36" s="104"/>
      <c r="C36" s="22"/>
      <c r="D36" s="22"/>
      <c r="E36" s="104"/>
      <c r="F36" s="2"/>
      <c r="G36" s="2"/>
      <c r="H36" s="2"/>
      <c r="I36" s="2"/>
      <c r="J36" s="2"/>
      <c r="K36" s="2"/>
      <c r="L36" s="2"/>
      <c r="M36" s="2"/>
      <c r="N36" s="2"/>
      <c r="O36" s="1">
        <v>25.0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64"/>
      <c r="B37" s="104"/>
      <c r="C37" s="22"/>
      <c r="D37" s="22"/>
      <c r="E37" s="104"/>
      <c r="F37" s="2"/>
      <c r="G37" s="2"/>
      <c r="H37" s="2"/>
      <c r="I37" s="2"/>
      <c r="J37" s="2"/>
      <c r="K37" s="2"/>
      <c r="L37" s="2"/>
      <c r="M37" s="2"/>
      <c r="N37" s="2"/>
      <c r="O37" s="1">
        <v>26.0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64"/>
      <c r="B38" s="104"/>
      <c r="C38" s="22"/>
      <c r="D38" s="22"/>
      <c r="E38" s="104"/>
      <c r="F38" s="2"/>
      <c r="G38" s="2"/>
      <c r="H38" s="2"/>
      <c r="I38" s="2"/>
      <c r="J38" s="2"/>
      <c r="K38" s="2"/>
      <c r="L38" s="2"/>
      <c r="M38" s="2"/>
      <c r="N38" s="2"/>
      <c r="O38" s="1">
        <v>27.0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64"/>
      <c r="B39" s="104"/>
      <c r="C39" s="22"/>
      <c r="D39" s="22"/>
      <c r="E39" s="104"/>
      <c r="F39" s="2"/>
      <c r="G39" s="2"/>
      <c r="H39" s="2"/>
      <c r="I39" s="2"/>
      <c r="J39" s="2"/>
      <c r="K39" s="2"/>
      <c r="L39" s="2"/>
      <c r="M39" s="2"/>
      <c r="N39" s="2"/>
      <c r="O39" s="1">
        <v>28.0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108" t="s">
        <v>34</v>
      </c>
      <c r="B40" s="108">
        <f>SUBTOTAL(103,B13:B39)</f>
        <v>16</v>
      </c>
      <c r="C40" s="109"/>
      <c r="D40" s="110"/>
      <c r="E40" s="110"/>
      <c r="F40" s="2"/>
      <c r="G40" s="2"/>
      <c r="H40" s="2"/>
      <c r="I40" s="2"/>
      <c r="J40" s="2"/>
      <c r="K40" s="2"/>
      <c r="L40" s="2"/>
      <c r="M40" s="2"/>
      <c r="N40" s="2"/>
      <c r="O40" s="1">
        <v>29.0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1">
        <v>30.0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1">
        <v>31.0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1">
        <v>32.0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1">
        <v>33.0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1">
        <v>34.0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1">
        <v>35.0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1">
        <v>36.0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1">
        <v>37.0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1">
        <v>38.0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1">
        <v>39.0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1">
        <v>40.0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1">
        <v>41.0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1">
        <v>42.0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1">
        <v>43.0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1">
        <v>44.0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1">
        <v>45.0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1">
        <v>46.0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1">
        <v>47.0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1">
        <v>48.0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1">
        <v>49.0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1">
        <v>50.0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1">
        <v>51.0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1">
        <v>52.0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1">
        <v>53.0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1">
        <v>54.0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1">
        <v>55.0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1">
        <v>56.0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1">
        <v>57.0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1">
        <v>58.0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1">
        <v>59.0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1">
        <v>60.0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>
        <v>61.0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>
        <v>62.0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>
        <v>63.0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>
        <v>64.0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>
        <v>65.0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>
        <v>66.0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>
        <v>67.0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>
        <v>68.0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>
        <v>69.0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>
        <v>70.0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>
        <v>71.0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>
        <v>72.0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>
        <v>73.0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>
        <v>74.0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>
        <v>75.0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>
        <v>76.0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>
        <v>77.0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>
        <v>78.0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>
        <v>79.0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>
        <v>80.0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>
        <v>81.0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>
        <v>82.0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>
        <v>83.0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>
        <v>84.0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>
        <v>85.0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>
        <v>86.0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>
        <v>87.0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>
        <v>88.0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>
        <v>89.0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>
        <v>90.0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>
        <v>91.0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>
        <v>92.0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>
        <v>93.0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>
        <v>94.0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>
        <v>95.0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>
        <v>96.0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>
        <v>97.0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>
        <v>98.0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>
        <v>99.0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>
        <v>100.0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>
        <v>101.0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>
        <v>102.0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>
        <v>103.0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>
        <v>104.0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>
        <v>105.0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>
        <v>106.0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>
        <v>107.0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>
        <v>108.0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>
        <v>109.0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>
        <v>110.0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>
        <v>111.0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>
        <v>112.0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>
        <v>113.0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>
        <v>114.0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>
        <v>115.0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>
        <v>116.0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>
        <v>117.0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>
        <v>118.0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>
        <v>119.0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>
        <v>120.0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>
        <v>121.0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>
        <v>122.0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>
        <v>123.0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>
        <v>124.0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>
        <v>125.0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>
        <v>126.0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>
        <v>127.0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>
        <v>128.0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>
        <v>129.0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>
        <v>130.0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>
        <v>131.0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>
        <v>132.0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>
        <v>133.0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>
        <v>134.0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>
        <v>135.0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>
        <v>136.0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>
        <v>137.0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>
        <v>138.0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>
        <v>139.0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>
        <v>140.0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>
        <v>141.0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>
        <v>142.0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>
        <v>143.0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">
        <v>144.0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">
        <v>145.0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">
        <v>146.0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">
        <v>147.0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">
        <v>148.0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">
        <v>149.0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">
        <v>150.0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">
        <v>151.0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">
        <v>152.0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">
        <v>153.0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">
        <v>154.0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">
        <v>155.0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">
        <v>156.0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">
        <v>157.0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">
        <v>158.0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">
        <v>159.0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">
        <v>160.0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">
        <v>161.0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">
        <v>162.0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">
        <v>163.0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">
        <v>164.0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">
        <v>165.0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">
        <v>166.0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">
        <v>167.0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">
        <v>168.0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">
        <v>169.0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">
        <v>170.0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">
        <v>171.0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">
        <v>172.0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">
        <v>173.0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">
        <v>174.0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">
        <v>175.0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">
        <v>176.0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">
        <v>177.0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">
        <v>178.0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">
        <v>179.0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">
        <v>180.0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">
        <v>181.0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">
        <v>182.0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">
        <v>183.0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">
        <v>184.0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">
        <v>185.0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">
        <v>186.0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">
        <v>187.0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">
        <v>188.0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">
        <v>189.0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">
        <v>190.0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">
        <v>191.0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">
        <v>192.0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">
        <v>193.0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">
        <v>194.0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">
        <v>195.0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">
        <v>196.0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">
        <v>197.0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">
        <v>198.0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">
        <v>199.0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">
        <v>200.0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">
        <v>201.0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">
        <v>202.0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">
        <v>203.0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">
        <v>204.0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">
        <v>205.0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">
        <v>206.0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">
        <v>207.0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">
        <v>208.0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">
        <v>209.0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">
        <v>210.0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">
        <v>211.0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">
        <v>212.0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">
        <v>213.0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">
        <v>214.0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">
        <v>215.0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">
        <v>216.0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">
        <v>217.0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">
        <v>218.0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">
        <v>219.0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">
        <v>220.0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">
        <v>221.0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">
        <v>222.0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">
        <v>223.0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">
        <v>224.0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">
        <v>225.0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">
        <v>226.0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">
        <v>227.0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">
        <v>228.0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">
        <v>229.0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">
        <v>230.0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">
        <v>231.0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">
        <v>232.0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">
        <v>233.0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1">
        <v>234.0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1">
        <v>235.0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1">
        <v>236.0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1">
        <v>237.0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1">
        <v>238.0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1">
        <v>239.0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1">
        <v>240.0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1">
        <v>241.0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1">
        <v>242.0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1">
        <v>243.0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1">
        <v>244.0</v>
      </c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1">
        <v>245.0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1">
        <v>246.0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1">
        <v>247.0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1">
        <v>248.0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1">
        <v>249.0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1">
        <v>250.0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1">
        <v>251.0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1">
        <v>252.0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1">
        <v>253.0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1">
        <v>254.0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1">
        <v>255.0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1">
        <v>256.0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1">
        <v>257.0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1">
        <v>258.0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1">
        <v>259.0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1">
        <v>260.0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1">
        <v>261.0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1">
        <v>262.0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1">
        <v>263.0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1">
        <v>264.0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1">
        <v>265.0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1">
        <v>266.0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1">
        <v>267.0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1">
        <v>268.0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1">
        <v>269.0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1">
        <v>270.0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1">
        <v>271.0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1">
        <v>272.0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1">
        <v>273.0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1">
        <v>274.0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1">
        <v>275.0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1">
        <v>276.0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1">
        <v>277.0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1">
        <v>278.0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1">
        <v>279.0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1">
        <v>280.0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1">
        <v>281.0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1">
        <v>282.0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1">
        <v>283.0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1">
        <v>284.0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1">
        <v>285.0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1">
        <v>286.0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1">
        <v>287.0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1">
        <v>288.0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1">
        <v>289.0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1">
        <v>290.0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1">
        <v>291.0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1">
        <v>292.0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1">
        <v>293.0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1">
        <v>294.0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1">
        <v>295.0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1">
        <v>296.0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1">
        <v>297.0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1">
        <v>298.0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1">
        <v>299.0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1">
        <v>300.0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1">
        <v>301.0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1">
        <v>302.0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1">
        <v>303.0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1">
        <v>304.0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1">
        <v>305.0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1">
        <v>306.0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1">
        <v>307.0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1">
        <v>308.0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1">
        <v>309.0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1">
        <v>310.0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1">
        <v>311.0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1">
        <v>312.0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1">
        <v>313.0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1">
        <v>314.0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1">
        <v>315.0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1">
        <v>316.0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1">
        <v>317.0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1">
        <v>318.0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1">
        <v>319.0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1">
        <v>320.0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1">
        <v>321.0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1">
        <v>322.0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1">
        <v>323.0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1">
        <v>324.0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1">
        <v>325.0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1">
        <v>326.0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1">
        <v>327.0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1">
        <v>328.0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1">
        <v>329.0</v>
      </c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1">
        <v>330.0</v>
      </c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1">
        <v>331.0</v>
      </c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1">
        <v>332.0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1">
        <v>333.0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1">
        <v>334.0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1">
        <v>335.0</v>
      </c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1">
        <v>336.0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1">
        <v>337.0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1">
        <v>338.0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1">
        <v>339.0</v>
      </c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1">
        <v>340.0</v>
      </c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1">
        <v>341.0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1">
        <v>342.0</v>
      </c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1">
        <v>343.0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1">
        <v>344.0</v>
      </c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1">
        <v>345.0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1">
        <v>346.0</v>
      </c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1">
        <v>347.0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1">
        <v>348.0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1">
        <v>349.0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1">
        <v>350.0</v>
      </c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1">
        <v>351.0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1">
        <v>352.0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1">
        <v>353.0</v>
      </c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1">
        <v>354.0</v>
      </c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1">
        <v>355.0</v>
      </c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1">
        <v>356.0</v>
      </c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1">
        <v>357.0</v>
      </c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1">
        <v>358.0</v>
      </c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1">
        <v>359.0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1">
        <v>360.0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1">
        <v>361.0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1">
        <v>362.0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1">
        <v>363.0</v>
      </c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1">
        <v>364.0</v>
      </c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1">
        <v>365.0</v>
      </c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1">
        <v>366.0</v>
      </c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1">
        <v>367.0</v>
      </c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1">
        <v>368.0</v>
      </c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1">
        <v>369.0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1">
        <v>370.0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1">
        <v>371.0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1">
        <v>372.0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1">
        <v>373.0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1">
        <v>374.0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1">
        <v>375.0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1">
        <v>376.0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1">
        <v>377.0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1">
        <v>378.0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1">
        <v>379.0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1">
        <v>380.0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1">
        <v>381.0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1">
        <v>382.0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1">
        <v>383.0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1">
        <v>384.0</v>
      </c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1">
        <v>385.0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1">
        <v>386.0</v>
      </c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1">
        <v>387.0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1">
        <v>388.0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1">
        <v>389.0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1">
        <v>390.0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1">
        <v>391.0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1">
        <v>392.0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1">
        <v>393.0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1">
        <v>394.0</v>
      </c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1">
        <v>395.0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1">
        <v>396.0</v>
      </c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1">
        <v>397.0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1">
        <v>398.0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1">
        <v>399.0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1">
        <v>400.0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1">
        <v>401.0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1">
        <v>402.0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1">
        <v>403.0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1">
        <v>404.0</v>
      </c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1">
        <v>405.0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1">
        <v>406.0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1">
        <v>407.0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1">
        <v>408.0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1">
        <v>409.0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1">
        <v>410.0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1">
        <v>411.0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1">
        <v>412.0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1">
        <v>413.0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1">
        <v>414.0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1">
        <v>415.0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1">
        <v>416.0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1">
        <v>417.0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1">
        <v>418.0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1">
        <v>419.0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1">
        <v>420.0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1">
        <v>421.0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1">
        <v>422.0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1">
        <v>423.0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1">
        <v>424.0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1">
        <v>425.0</v>
      </c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1">
        <v>426.0</v>
      </c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1">
        <v>427.0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1">
        <v>428.0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1">
        <v>429.0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1">
        <v>430.0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1">
        <v>431.0</v>
      </c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1">
        <v>432.0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1">
        <v>433.0</v>
      </c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1">
        <v>434.0</v>
      </c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1">
        <v>435.0</v>
      </c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1">
        <v>436.0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1">
        <v>437.0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1">
        <v>438.0</v>
      </c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1">
        <v>439.0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1">
        <v>440.0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1">
        <v>441.0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1">
        <v>442.0</v>
      </c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1">
        <v>443.0</v>
      </c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1">
        <v>444.0</v>
      </c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1">
        <v>445.0</v>
      </c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1">
        <v>446.0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1">
        <v>447.0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1">
        <v>448.0</v>
      </c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1">
        <v>449.0</v>
      </c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1">
        <v>450.0</v>
      </c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1">
        <v>451.0</v>
      </c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1">
        <v>452.0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1">
        <v>453.0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1">
        <v>454.0</v>
      </c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1">
        <v>455.0</v>
      </c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1">
        <v>456.0</v>
      </c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1">
        <v>457.0</v>
      </c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1">
        <v>458.0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1">
        <v>459.0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1">
        <v>460.0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1">
        <v>461.0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1">
        <v>462.0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1">
        <v>463.0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1">
        <v>464.0</v>
      </c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1">
        <v>465.0</v>
      </c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1">
        <v>466.0</v>
      </c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1">
        <v>467.0</v>
      </c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1">
        <v>468.0</v>
      </c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1">
        <v>469.0</v>
      </c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1">
        <v>470.0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1">
        <v>471.0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1">
        <v>472.0</v>
      </c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1">
        <v>473.0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1">
        <v>474.0</v>
      </c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1">
        <v>475.0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1">
        <v>476.0</v>
      </c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1">
        <v>477.0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1">
        <v>478.0</v>
      </c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1">
        <v>479.0</v>
      </c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1">
        <v>480.0</v>
      </c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1">
        <v>481.0</v>
      </c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1">
        <v>482.0</v>
      </c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1">
        <v>483.0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1">
        <v>484.0</v>
      </c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1">
        <v>485.0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1">
        <v>486.0</v>
      </c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1">
        <v>487.0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1">
        <v>488.0</v>
      </c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1">
        <v>489.0</v>
      </c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1">
        <v>490.0</v>
      </c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1">
        <v>491.0</v>
      </c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1">
        <v>492.0</v>
      </c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1">
        <v>493.0</v>
      </c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1">
        <v>494.0</v>
      </c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1">
        <v>495.0</v>
      </c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1">
        <v>496.0</v>
      </c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1">
        <v>497.0</v>
      </c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1">
        <v>498.0</v>
      </c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1">
        <v>499.0</v>
      </c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1">
        <v>500.0</v>
      </c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1">
        <v>501.0</v>
      </c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1">
        <v>502.0</v>
      </c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1">
        <v>503.0</v>
      </c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1">
        <v>504.0</v>
      </c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1">
        <v>505.0</v>
      </c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1">
        <v>506.0</v>
      </c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1">
        <v>507.0</v>
      </c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1">
        <v>508.0</v>
      </c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1">
        <v>509.0</v>
      </c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1">
        <v>510.0</v>
      </c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1">
        <v>511.0</v>
      </c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1">
        <v>512.0</v>
      </c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1">
        <v>513.0</v>
      </c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1">
        <v>514.0</v>
      </c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1">
        <v>515.0</v>
      </c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1">
        <v>516.0</v>
      </c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1">
        <v>517.0</v>
      </c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1">
        <v>518.0</v>
      </c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1">
        <v>519.0</v>
      </c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1">
        <v>520.0</v>
      </c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1">
        <v>521.0</v>
      </c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1">
        <v>522.0</v>
      </c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1">
        <v>523.0</v>
      </c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1">
        <v>524.0</v>
      </c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1">
        <v>525.0</v>
      </c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1">
        <v>526.0</v>
      </c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1">
        <v>527.0</v>
      </c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1">
        <v>528.0</v>
      </c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1">
        <v>529.0</v>
      </c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1">
        <v>530.0</v>
      </c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1">
        <v>531.0</v>
      </c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1">
        <v>532.0</v>
      </c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1">
        <v>533.0</v>
      </c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1">
        <v>534.0</v>
      </c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1">
        <v>535.0</v>
      </c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1">
        <v>536.0</v>
      </c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1">
        <v>537.0</v>
      </c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1">
        <v>538.0</v>
      </c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1">
        <v>539.0</v>
      </c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1">
        <v>540.0</v>
      </c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1">
        <v>541.0</v>
      </c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1">
        <v>542.0</v>
      </c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1">
        <v>543.0</v>
      </c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1">
        <v>544.0</v>
      </c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1">
        <v>545.0</v>
      </c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1">
        <v>546.0</v>
      </c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1">
        <v>547.0</v>
      </c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1">
        <v>548.0</v>
      </c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1">
        <v>549.0</v>
      </c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1">
        <v>550.0</v>
      </c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1">
        <v>551.0</v>
      </c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1">
        <v>552.0</v>
      </c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1">
        <v>553.0</v>
      </c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1">
        <v>554.0</v>
      </c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1">
        <v>555.0</v>
      </c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1">
        <v>556.0</v>
      </c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1">
        <v>557.0</v>
      </c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1">
        <v>558.0</v>
      </c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1">
        <v>559.0</v>
      </c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1">
        <v>560.0</v>
      </c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1">
        <v>561.0</v>
      </c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1">
        <v>562.0</v>
      </c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1">
        <v>563.0</v>
      </c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1">
        <v>564.0</v>
      </c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1">
        <v>565.0</v>
      </c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1">
        <v>566.0</v>
      </c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1">
        <v>567.0</v>
      </c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1">
        <v>568.0</v>
      </c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1">
        <v>569.0</v>
      </c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1">
        <v>570.0</v>
      </c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1">
        <v>571.0</v>
      </c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1">
        <v>572.0</v>
      </c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1">
        <v>573.0</v>
      </c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1">
        <v>574.0</v>
      </c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1">
        <v>575.0</v>
      </c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1">
        <v>576.0</v>
      </c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1">
        <v>577.0</v>
      </c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1">
        <v>578.0</v>
      </c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1">
        <v>579.0</v>
      </c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1">
        <v>580.0</v>
      </c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1">
        <v>581.0</v>
      </c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1">
        <v>582.0</v>
      </c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1">
        <v>583.0</v>
      </c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1">
        <v>584.0</v>
      </c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1">
        <v>585.0</v>
      </c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1">
        <v>586.0</v>
      </c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1">
        <v>587.0</v>
      </c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1">
        <v>588.0</v>
      </c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1">
        <v>589.0</v>
      </c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1">
        <v>590.0</v>
      </c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1">
        <v>591.0</v>
      </c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1">
        <v>592.0</v>
      </c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1">
        <v>593.0</v>
      </c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1">
        <v>594.0</v>
      </c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1">
        <v>595.0</v>
      </c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1">
        <v>596.0</v>
      </c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1">
        <v>597.0</v>
      </c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1">
        <v>598.0</v>
      </c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1">
        <v>599.0</v>
      </c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1">
        <v>600.0</v>
      </c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1">
        <v>601.0</v>
      </c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1">
        <v>602.0</v>
      </c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1">
        <v>603.0</v>
      </c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1">
        <v>604.0</v>
      </c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1">
        <v>605.0</v>
      </c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1">
        <v>606.0</v>
      </c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1">
        <v>607.0</v>
      </c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1">
        <v>608.0</v>
      </c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1">
        <v>609.0</v>
      </c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1">
        <v>610.0</v>
      </c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1">
        <v>611.0</v>
      </c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1">
        <v>612.0</v>
      </c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1">
        <v>613.0</v>
      </c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1">
        <v>614.0</v>
      </c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1">
        <v>615.0</v>
      </c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1">
        <v>616.0</v>
      </c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1">
        <v>617.0</v>
      </c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1">
        <v>618.0</v>
      </c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1">
        <v>619.0</v>
      </c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1">
        <v>620.0</v>
      </c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1">
        <v>621.0</v>
      </c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1">
        <v>622.0</v>
      </c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1">
        <v>623.0</v>
      </c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1">
        <v>624.0</v>
      </c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1">
        <v>625.0</v>
      </c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1">
        <v>626.0</v>
      </c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1">
        <v>627.0</v>
      </c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1">
        <v>628.0</v>
      </c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1">
        <v>629.0</v>
      </c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1">
        <v>630.0</v>
      </c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1">
        <v>631.0</v>
      </c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1">
        <v>632.0</v>
      </c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1">
        <v>633.0</v>
      </c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1">
        <v>634.0</v>
      </c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1">
        <v>635.0</v>
      </c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1">
        <v>636.0</v>
      </c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1">
        <v>637.0</v>
      </c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1">
        <v>638.0</v>
      </c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1">
        <v>639.0</v>
      </c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1">
        <v>640.0</v>
      </c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1">
        <v>641.0</v>
      </c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1">
        <v>642.0</v>
      </c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1">
        <v>643.0</v>
      </c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1">
        <v>644.0</v>
      </c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1">
        <v>645.0</v>
      </c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1">
        <v>646.0</v>
      </c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1">
        <v>647.0</v>
      </c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1">
        <v>648.0</v>
      </c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1">
        <v>649.0</v>
      </c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1">
        <v>650.0</v>
      </c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1">
        <v>651.0</v>
      </c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1">
        <v>652.0</v>
      </c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1">
        <v>653.0</v>
      </c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1">
        <v>654.0</v>
      </c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1">
        <v>655.0</v>
      </c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1">
        <v>656.0</v>
      </c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1">
        <v>657.0</v>
      </c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1">
        <v>658.0</v>
      </c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1">
        <v>659.0</v>
      </c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1">
        <v>660.0</v>
      </c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1">
        <v>661.0</v>
      </c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1">
        <v>662.0</v>
      </c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1">
        <v>663.0</v>
      </c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1">
        <v>664.0</v>
      </c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1">
        <v>665.0</v>
      </c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1">
        <v>666.0</v>
      </c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1">
        <v>667.0</v>
      </c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1">
        <v>668.0</v>
      </c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1">
        <v>669.0</v>
      </c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1">
        <v>670.0</v>
      </c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1">
        <v>671.0</v>
      </c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1">
        <v>672.0</v>
      </c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1">
        <v>673.0</v>
      </c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1">
        <v>674.0</v>
      </c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1">
        <v>675.0</v>
      </c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1">
        <v>676.0</v>
      </c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1">
        <v>677.0</v>
      </c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1">
        <v>678.0</v>
      </c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1">
        <v>679.0</v>
      </c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1">
        <v>680.0</v>
      </c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1">
        <v>681.0</v>
      </c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1">
        <v>682.0</v>
      </c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1">
        <v>683.0</v>
      </c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1">
        <v>684.0</v>
      </c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1">
        <v>685.0</v>
      </c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1">
        <v>686.0</v>
      </c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1">
        <v>687.0</v>
      </c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1">
        <v>688.0</v>
      </c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1">
        <v>689.0</v>
      </c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1">
        <v>690.0</v>
      </c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1">
        <v>691.0</v>
      </c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1">
        <v>692.0</v>
      </c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1">
        <v>693.0</v>
      </c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1">
        <v>694.0</v>
      </c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1">
        <v>695.0</v>
      </c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1">
        <v>696.0</v>
      </c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1">
        <v>697.0</v>
      </c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1">
        <v>698.0</v>
      </c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1">
        <v>699.0</v>
      </c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1">
        <v>700.0</v>
      </c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1">
        <v>701.0</v>
      </c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1">
        <v>702.0</v>
      </c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1">
        <v>703.0</v>
      </c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1">
        <v>704.0</v>
      </c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1">
        <v>705.0</v>
      </c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1">
        <v>706.0</v>
      </c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1">
        <v>707.0</v>
      </c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1">
        <v>708.0</v>
      </c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1">
        <v>709.0</v>
      </c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1">
        <v>710.0</v>
      </c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1">
        <v>711.0</v>
      </c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1">
        <v>712.0</v>
      </c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1">
        <v>713.0</v>
      </c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1">
        <v>714.0</v>
      </c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1">
        <v>715.0</v>
      </c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1">
        <v>716.0</v>
      </c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1">
        <v>717.0</v>
      </c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1">
        <v>718.0</v>
      </c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1">
        <v>719.0</v>
      </c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1">
        <v>720.0</v>
      </c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1">
        <v>721.0</v>
      </c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1">
        <v>722.0</v>
      </c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1">
        <v>723.0</v>
      </c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1">
        <v>724.0</v>
      </c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1">
        <v>725.0</v>
      </c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1">
        <v>726.0</v>
      </c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1">
        <v>727.0</v>
      </c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1">
        <v>728.0</v>
      </c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1">
        <v>729.0</v>
      </c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1">
        <v>730.0</v>
      </c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1">
        <v>731.0</v>
      </c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1">
        <v>732.0</v>
      </c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1">
        <v>733.0</v>
      </c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1">
        <v>734.0</v>
      </c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1">
        <v>735.0</v>
      </c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1">
        <v>736.0</v>
      </c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1">
        <v>737.0</v>
      </c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1">
        <v>738.0</v>
      </c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1">
        <v>739.0</v>
      </c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1">
        <v>740.0</v>
      </c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1">
        <v>741.0</v>
      </c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1">
        <v>742.0</v>
      </c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1">
        <v>743.0</v>
      </c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1">
        <v>744.0</v>
      </c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1">
        <v>745.0</v>
      </c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1">
        <v>746.0</v>
      </c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1">
        <v>747.0</v>
      </c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1">
        <v>748.0</v>
      </c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1">
        <v>749.0</v>
      </c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1">
        <v>750.0</v>
      </c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1">
        <v>751.0</v>
      </c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1">
        <v>752.0</v>
      </c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1">
        <v>753.0</v>
      </c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1">
        <v>754.0</v>
      </c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1">
        <v>755.0</v>
      </c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1">
        <v>756.0</v>
      </c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1">
        <v>757.0</v>
      </c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1">
        <v>758.0</v>
      </c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1">
        <v>759.0</v>
      </c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1">
        <v>760.0</v>
      </c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1">
        <v>761.0</v>
      </c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1">
        <v>762.0</v>
      </c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1">
        <v>763.0</v>
      </c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1">
        <v>764.0</v>
      </c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1">
        <v>765.0</v>
      </c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1">
        <v>766.0</v>
      </c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1">
        <v>767.0</v>
      </c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1">
        <v>768.0</v>
      </c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1">
        <v>769.0</v>
      </c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1">
        <v>770.0</v>
      </c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1">
        <v>771.0</v>
      </c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1">
        <v>772.0</v>
      </c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1">
        <v>773.0</v>
      </c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1">
        <v>774.0</v>
      </c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1">
        <v>775.0</v>
      </c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1">
        <v>776.0</v>
      </c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1">
        <v>777.0</v>
      </c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1">
        <v>778.0</v>
      </c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1">
        <v>779.0</v>
      </c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1">
        <v>780.0</v>
      </c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1">
        <v>781.0</v>
      </c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1">
        <v>782.0</v>
      </c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1">
        <v>783.0</v>
      </c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1">
        <v>784.0</v>
      </c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1">
        <v>785.0</v>
      </c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1">
        <v>786.0</v>
      </c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1">
        <v>787.0</v>
      </c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1">
        <v>788.0</v>
      </c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1">
        <v>789.0</v>
      </c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1">
        <v>790.0</v>
      </c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1">
        <v>791.0</v>
      </c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1">
        <v>792.0</v>
      </c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1">
        <v>793.0</v>
      </c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1">
        <v>794.0</v>
      </c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1">
        <v>795.0</v>
      </c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1">
        <v>796.0</v>
      </c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1">
        <v>797.0</v>
      </c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1">
        <v>798.0</v>
      </c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1">
        <v>799.0</v>
      </c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1">
        <v>800.0</v>
      </c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1">
        <v>801.0</v>
      </c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1">
        <v>802.0</v>
      </c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1">
        <v>803.0</v>
      </c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1">
        <v>804.0</v>
      </c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1">
        <v>805.0</v>
      </c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1">
        <v>806.0</v>
      </c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1">
        <v>807.0</v>
      </c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1">
        <v>808.0</v>
      </c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1">
        <v>809.0</v>
      </c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1">
        <v>810.0</v>
      </c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1">
        <v>811.0</v>
      </c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1">
        <v>812.0</v>
      </c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1">
        <v>813.0</v>
      </c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1">
        <v>814.0</v>
      </c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1">
        <v>815.0</v>
      </c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1">
        <v>816.0</v>
      </c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1">
        <v>817.0</v>
      </c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1">
        <v>818.0</v>
      </c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1">
        <v>819.0</v>
      </c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1">
        <v>820.0</v>
      </c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1">
        <v>821.0</v>
      </c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1">
        <v>822.0</v>
      </c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1">
        <v>823.0</v>
      </c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1">
        <v>824.0</v>
      </c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1">
        <v>825.0</v>
      </c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1">
        <v>826.0</v>
      </c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1">
        <v>827.0</v>
      </c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1">
        <v>828.0</v>
      </c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1">
        <v>829.0</v>
      </c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1">
        <v>830.0</v>
      </c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1">
        <v>831.0</v>
      </c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1">
        <v>832.0</v>
      </c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1">
        <v>833.0</v>
      </c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1">
        <v>834.0</v>
      </c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1">
        <v>835.0</v>
      </c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1">
        <v>836.0</v>
      </c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1">
        <v>837.0</v>
      </c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1">
        <v>838.0</v>
      </c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1">
        <v>839.0</v>
      </c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1">
        <v>840.0</v>
      </c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1">
        <v>841.0</v>
      </c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1">
        <v>842.0</v>
      </c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1">
        <v>843.0</v>
      </c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1">
        <v>844.0</v>
      </c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1">
        <v>845.0</v>
      </c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1">
        <v>846.0</v>
      </c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1">
        <v>847.0</v>
      </c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1">
        <v>848.0</v>
      </c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1">
        <v>849.0</v>
      </c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1">
        <v>850.0</v>
      </c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1">
        <v>851.0</v>
      </c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1">
        <v>852.0</v>
      </c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1">
        <v>853.0</v>
      </c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1">
        <v>854.0</v>
      </c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1">
        <v>855.0</v>
      </c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1">
        <v>856.0</v>
      </c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1">
        <v>857.0</v>
      </c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1">
        <v>858.0</v>
      </c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1">
        <v>859.0</v>
      </c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1">
        <v>860.0</v>
      </c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1">
        <v>861.0</v>
      </c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1">
        <v>862.0</v>
      </c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1">
        <v>863.0</v>
      </c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1">
        <v>864.0</v>
      </c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1">
        <v>865.0</v>
      </c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1">
        <v>866.0</v>
      </c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1">
        <v>867.0</v>
      </c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1">
        <v>868.0</v>
      </c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1">
        <v>869.0</v>
      </c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1">
        <v>870.0</v>
      </c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1">
        <v>871.0</v>
      </c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1">
        <v>872.0</v>
      </c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1">
        <v>873.0</v>
      </c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1">
        <v>874.0</v>
      </c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1">
        <v>875.0</v>
      </c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1">
        <v>876.0</v>
      </c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1">
        <v>877.0</v>
      </c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1">
        <v>878.0</v>
      </c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1">
        <v>879.0</v>
      </c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1">
        <v>880.0</v>
      </c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1">
        <v>881.0</v>
      </c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1">
        <v>882.0</v>
      </c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1">
        <v>883.0</v>
      </c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1">
        <v>884.0</v>
      </c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1">
        <v>885.0</v>
      </c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1">
        <v>886.0</v>
      </c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1">
        <v>887.0</v>
      </c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1">
        <v>888.0</v>
      </c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1">
        <v>889.0</v>
      </c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1">
        <v>890.0</v>
      </c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1">
        <v>891.0</v>
      </c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1">
        <v>892.0</v>
      </c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1">
        <v>893.0</v>
      </c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1">
        <v>894.0</v>
      </c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1">
        <v>895.0</v>
      </c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1">
        <v>896.0</v>
      </c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1">
        <v>897.0</v>
      </c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1">
        <v>898.0</v>
      </c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1">
        <v>899.0</v>
      </c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1">
        <v>900.0</v>
      </c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1">
        <v>901.0</v>
      </c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1">
        <v>902.0</v>
      </c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1">
        <v>903.0</v>
      </c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1">
        <v>904.0</v>
      </c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1">
        <v>905.0</v>
      </c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1">
        <v>906.0</v>
      </c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1">
        <v>907.0</v>
      </c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1">
        <v>908.0</v>
      </c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1">
        <v>909.0</v>
      </c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1">
        <v>910.0</v>
      </c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1">
        <v>911.0</v>
      </c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1">
        <v>912.0</v>
      </c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1">
        <v>913.0</v>
      </c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1">
        <v>914.0</v>
      </c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1">
        <v>915.0</v>
      </c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1">
        <v>916.0</v>
      </c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1">
        <v>917.0</v>
      </c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1">
        <v>918.0</v>
      </c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1">
        <v>919.0</v>
      </c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1">
        <v>920.0</v>
      </c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1">
        <v>921.0</v>
      </c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1">
        <v>922.0</v>
      </c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1">
        <v>923.0</v>
      </c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1">
        <v>924.0</v>
      </c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1">
        <v>925.0</v>
      </c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1">
        <v>926.0</v>
      </c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1">
        <v>927.0</v>
      </c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1">
        <v>928.0</v>
      </c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1">
        <v>929.0</v>
      </c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1">
        <v>930.0</v>
      </c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1">
        <v>931.0</v>
      </c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1">
        <v>932.0</v>
      </c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1">
        <v>933.0</v>
      </c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1">
        <v>934.0</v>
      </c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1">
        <v>935.0</v>
      </c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1">
        <v>936.0</v>
      </c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1">
        <v>937.0</v>
      </c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1">
        <v>938.0</v>
      </c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1">
        <v>939.0</v>
      </c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1">
        <v>940.0</v>
      </c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1">
        <v>941.0</v>
      </c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1">
        <v>942.0</v>
      </c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1">
        <v>943.0</v>
      </c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1">
        <v>944.0</v>
      </c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1">
        <v>945.0</v>
      </c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1">
        <v>946.0</v>
      </c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1">
        <v>947.0</v>
      </c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1">
        <v>948.0</v>
      </c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1">
        <v>949.0</v>
      </c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1">
        <v>950.0</v>
      </c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1">
        <v>951.0</v>
      </c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1">
        <v>952.0</v>
      </c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1">
        <v>953.0</v>
      </c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1">
        <v>954.0</v>
      </c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1">
        <v>955.0</v>
      </c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1">
        <v>956.0</v>
      </c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1">
        <v>957.0</v>
      </c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1">
        <v>958.0</v>
      </c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1">
        <v>959.0</v>
      </c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1">
        <v>960.0</v>
      </c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1">
        <v>961.0</v>
      </c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1">
        <v>962.0</v>
      </c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1">
        <v>963.0</v>
      </c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1">
        <v>964.0</v>
      </c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1">
        <v>965.0</v>
      </c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1">
        <v>966.0</v>
      </c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1">
        <v>967.0</v>
      </c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1">
        <v>968.0</v>
      </c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1">
        <v>969.0</v>
      </c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1">
        <v>970.0</v>
      </c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1">
        <v>971.0</v>
      </c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1">
        <v>972.0</v>
      </c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1">
        <v>973.0</v>
      </c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1">
        <v>974.0</v>
      </c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1">
        <v>975.0</v>
      </c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1">
        <v>976.0</v>
      </c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1">
        <v>977.0</v>
      </c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1">
        <v>978.0</v>
      </c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1">
        <v>979.0</v>
      </c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1">
        <v>980.0</v>
      </c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1">
        <v>981.0</v>
      </c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1">
        <v>982.0</v>
      </c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1">
        <v>983.0</v>
      </c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1">
        <v>984.0</v>
      </c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1">
        <v>985.0</v>
      </c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1">
        <v>986.0</v>
      </c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1">
        <v>987.0</v>
      </c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1">
        <v>988.0</v>
      </c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1">
        <v>989.0</v>
      </c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2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1">
        <v>990.0</v>
      </c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2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1">
        <v>991.0</v>
      </c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2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1">
        <v>992.0</v>
      </c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2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1">
        <v>993.0</v>
      </c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2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1">
        <v>994.0</v>
      </c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2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1">
        <v>995.0</v>
      </c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2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1">
        <v>996.0</v>
      </c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2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1">
        <v>997.0</v>
      </c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2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1">
        <v>998.0</v>
      </c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12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1">
        <v>999.0</v>
      </c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</sheetData>
  <mergeCells count="2">
    <mergeCell ref="B2:D2"/>
    <mergeCell ref="A11:C11"/>
  </mergeCells>
  <dataValidations>
    <dataValidation type="list" allowBlank="1" showErrorMessage="1" sqref="D13:D39">
      <formula1>$B$7:$B$9</formula1>
    </dataValidation>
    <dataValidation type="custom" allowBlank="1" showErrorMessage="1" sqref="B13 B15:B39">
      <formula1>AND(GTE(LEN(B13),MIN((1),(100))),LTE(LEN(B13),MAX((1),(100))))</formula1>
    </dataValidation>
  </dataValidations>
  <printOptions/>
  <pageMargins bottom="0.984027777777778" footer="0.0" header="0.0" left="0.7875" right="0.7875" top="0.984027777777778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40.43"/>
    <col customWidth="1" min="4" max="4" width="5.29"/>
    <col customWidth="1" min="5" max="5" width="10.43"/>
    <col customWidth="1" min="6" max="6" width="9.14"/>
    <col customWidth="1" min="7" max="7" width="10.0"/>
    <col customWidth="1" min="8" max="13" width="9.14"/>
    <col customWidth="1" min="14" max="26" width="8.71"/>
  </cols>
  <sheetData>
    <row r="1" ht="12.75" customHeight="1">
      <c r="A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5" t="s">
        <v>101</v>
      </c>
      <c r="C4" s="7"/>
      <c r="D4" s="7"/>
      <c r="E4" s="9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22" t="s">
        <v>102</v>
      </c>
      <c r="C7" s="106"/>
      <c r="D7" s="106"/>
      <c r="E7" s="107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123" t="s">
        <v>22</v>
      </c>
      <c r="C8" s="124" t="s">
        <v>103</v>
      </c>
      <c r="D8" s="124" t="s">
        <v>4</v>
      </c>
      <c r="E8" s="124" t="s">
        <v>104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28" t="s">
        <v>105</v>
      </c>
      <c r="C9" s="54" t="s">
        <v>106</v>
      </c>
      <c r="D9" s="28">
        <v>2.0</v>
      </c>
      <c r="E9" s="28">
        <v>0.0</v>
      </c>
      <c r="H9" s="1"/>
      <c r="I9" s="37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28" t="s">
        <v>107</v>
      </c>
      <c r="C10" s="54" t="s">
        <v>108</v>
      </c>
      <c r="D10" s="28">
        <v>1.0</v>
      </c>
      <c r="E10" s="28">
        <v>2.0</v>
      </c>
      <c r="H10" s="1"/>
      <c r="I10" s="37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28" t="s">
        <v>109</v>
      </c>
      <c r="C11" s="54" t="s">
        <v>110</v>
      </c>
      <c r="D11" s="28">
        <v>1.0</v>
      </c>
      <c r="E11" s="28">
        <v>3.0</v>
      </c>
      <c r="H11" s="1"/>
      <c r="I11" s="37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28" t="s">
        <v>111</v>
      </c>
      <c r="C12" s="54" t="s">
        <v>112</v>
      </c>
      <c r="D12" s="28">
        <v>1.0</v>
      </c>
      <c r="E12" s="28">
        <v>0.0</v>
      </c>
      <c r="H12" s="1"/>
      <c r="I12" s="37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28" t="s">
        <v>113</v>
      </c>
      <c r="C13" s="54" t="s">
        <v>114</v>
      </c>
      <c r="D13" s="28">
        <v>1.0</v>
      </c>
      <c r="E13" s="61">
        <v>0.0</v>
      </c>
      <c r="H13" s="1"/>
      <c r="I13" s="3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28" t="s">
        <v>115</v>
      </c>
      <c r="C14" s="54" t="s">
        <v>116</v>
      </c>
      <c r="D14" s="28">
        <v>0.5</v>
      </c>
      <c r="E14" s="61">
        <v>5.0</v>
      </c>
      <c r="H14" s="1"/>
      <c r="I14" s="37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28" t="s">
        <v>117</v>
      </c>
      <c r="C15" s="54" t="s">
        <v>118</v>
      </c>
      <c r="D15" s="28">
        <v>0.5</v>
      </c>
      <c r="E15" s="28">
        <v>4.0</v>
      </c>
      <c r="H15" s="1"/>
      <c r="I15" s="37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28" t="s">
        <v>119</v>
      </c>
      <c r="C16" s="54" t="s">
        <v>120</v>
      </c>
      <c r="D16" s="28">
        <v>2.0</v>
      </c>
      <c r="E16" s="28">
        <v>4.0</v>
      </c>
      <c r="H16" s="1"/>
      <c r="I16" s="37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28" t="s">
        <v>121</v>
      </c>
      <c r="C17" s="54" t="s">
        <v>122</v>
      </c>
      <c r="D17" s="28">
        <v>1.0</v>
      </c>
      <c r="E17" s="28">
        <v>5.0</v>
      </c>
      <c r="H17" s="1"/>
      <c r="I17" s="37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28" t="s">
        <v>123</v>
      </c>
      <c r="C18" s="54" t="s">
        <v>124</v>
      </c>
      <c r="D18" s="28">
        <v>1.0</v>
      </c>
      <c r="E18" s="28">
        <v>0.0</v>
      </c>
      <c r="H18" s="1"/>
      <c r="I18" s="37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28" t="s">
        <v>125</v>
      </c>
      <c r="C19" s="54" t="s">
        <v>126</v>
      </c>
      <c r="D19" s="28">
        <v>1.0</v>
      </c>
      <c r="E19" s="28">
        <v>2.0</v>
      </c>
      <c r="H19" s="1"/>
      <c r="I19" s="37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28" t="s">
        <v>127</v>
      </c>
      <c r="C20" s="54" t="s">
        <v>128</v>
      </c>
      <c r="D20" s="28">
        <v>1.0</v>
      </c>
      <c r="E20" s="28">
        <v>0.0</v>
      </c>
      <c r="H20" s="1"/>
      <c r="I20" s="37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28" t="s">
        <v>129</v>
      </c>
      <c r="C21" s="54" t="s">
        <v>130</v>
      </c>
      <c r="D21" s="28">
        <v>1.0</v>
      </c>
      <c r="E21" s="28">
        <v>0.0</v>
      </c>
      <c r="H21" s="1"/>
      <c r="I21" s="37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25" t="s">
        <v>131</v>
      </c>
      <c r="C22" s="106"/>
      <c r="D22" s="107"/>
      <c r="E22" s="126">
        <f>0.6+(0.01*SUM(D9*E9,D10*E10,D11*E11,D12*E12,D13*E13,D14*E14,D15*E15,D16*E16,D17*E17,D18*E18,D19*E19,D20*E20,D21*E21))</f>
        <v>0.845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H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H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22" t="s">
        <v>132</v>
      </c>
      <c r="C26" s="106"/>
      <c r="D26" s="106"/>
      <c r="E26" s="127"/>
      <c r="F26" s="128"/>
      <c r="G26" s="129"/>
      <c r="H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30" t="s">
        <v>22</v>
      </c>
      <c r="C27" s="131" t="s">
        <v>103</v>
      </c>
      <c r="D27" s="91"/>
      <c r="E27" s="92"/>
      <c r="F27" s="130" t="s">
        <v>4</v>
      </c>
      <c r="G27" s="130" t="s">
        <v>104</v>
      </c>
      <c r="H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28" t="s">
        <v>133</v>
      </c>
      <c r="C28" s="132" t="s">
        <v>134</v>
      </c>
      <c r="D28" s="106"/>
      <c r="E28" s="107"/>
      <c r="F28" s="28">
        <v>1.5</v>
      </c>
      <c r="G28" s="61">
        <v>3.0</v>
      </c>
      <c r="H28" s="1"/>
      <c r="I28" s="37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28" t="s">
        <v>135</v>
      </c>
      <c r="C29" s="132" t="s">
        <v>136</v>
      </c>
      <c r="D29" s="106"/>
      <c r="E29" s="107"/>
      <c r="F29" s="28">
        <v>0.5</v>
      </c>
      <c r="G29" s="28">
        <v>0.0</v>
      </c>
      <c r="H29" s="1"/>
      <c r="I29" s="37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28" t="s">
        <v>137</v>
      </c>
      <c r="C30" s="132" t="s">
        <v>138</v>
      </c>
      <c r="D30" s="106"/>
      <c r="E30" s="107"/>
      <c r="F30" s="28">
        <v>1.0</v>
      </c>
      <c r="G30" s="28">
        <v>1.0</v>
      </c>
      <c r="H30" s="1"/>
      <c r="I30" s="37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28" t="s">
        <v>140</v>
      </c>
      <c r="C31" s="132" t="s">
        <v>141</v>
      </c>
      <c r="D31" s="106"/>
      <c r="E31" s="107"/>
      <c r="F31" s="28">
        <v>0.5</v>
      </c>
      <c r="G31" s="28">
        <v>1.0</v>
      </c>
      <c r="H31" s="1"/>
      <c r="I31" s="37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28" t="s">
        <v>142</v>
      </c>
      <c r="C32" s="132" t="s">
        <v>143</v>
      </c>
      <c r="D32" s="106"/>
      <c r="E32" s="107"/>
      <c r="F32" s="28">
        <v>1.0</v>
      </c>
      <c r="G32" s="28">
        <v>3.0</v>
      </c>
      <c r="H32" s="1"/>
      <c r="I32" s="37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28" t="s">
        <v>144</v>
      </c>
      <c r="C33" s="132" t="s">
        <v>145</v>
      </c>
      <c r="D33" s="106"/>
      <c r="E33" s="107"/>
      <c r="F33" s="28">
        <v>2.0</v>
      </c>
      <c r="G33" s="28">
        <v>4.0</v>
      </c>
      <c r="H33" s="1"/>
      <c r="I33" s="37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28" t="s">
        <v>146</v>
      </c>
      <c r="C34" s="132" t="s">
        <v>147</v>
      </c>
      <c r="D34" s="106"/>
      <c r="E34" s="107"/>
      <c r="F34" s="28">
        <v>-1.0</v>
      </c>
      <c r="G34" s="28">
        <v>5.0</v>
      </c>
      <c r="H34" s="1"/>
      <c r="I34" s="37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28" t="s">
        <v>149</v>
      </c>
      <c r="C35" s="132" t="s">
        <v>150</v>
      </c>
      <c r="D35" s="106"/>
      <c r="E35" s="107"/>
      <c r="F35" s="28">
        <v>-1.0</v>
      </c>
      <c r="G35" s="61">
        <v>1.0</v>
      </c>
      <c r="H35" s="1"/>
      <c r="I35" s="37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25" t="s">
        <v>152</v>
      </c>
      <c r="C36" s="106"/>
      <c r="D36" s="106"/>
      <c r="E36" s="106"/>
      <c r="F36" s="107"/>
      <c r="G36" s="52">
        <f>1.4+(-0.03*SUM(F28*G28,F29*G29,F30*G30,F31*G31,F32*G32,F33*G33,F34*G34,F35*G35))</f>
        <v>1.07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4:E4"/>
    <mergeCell ref="B7:E7"/>
    <mergeCell ref="C28:E28"/>
    <mergeCell ref="B26:E26"/>
    <mergeCell ref="C27:E27"/>
    <mergeCell ref="C33:E33"/>
    <mergeCell ref="C32:E32"/>
    <mergeCell ref="C34:E34"/>
    <mergeCell ref="C35:E35"/>
    <mergeCell ref="B36:F36"/>
    <mergeCell ref="C29:E29"/>
    <mergeCell ref="C31:E31"/>
    <mergeCell ref="C30:E30"/>
    <mergeCell ref="B22:D22"/>
  </mergeCells>
  <dataValidations>
    <dataValidation type="decimal" allowBlank="1" showErrorMessage="1" sqref="E9:E21 I9:I21 G28:G35 I28:I35">
      <formula1>0.0</formula1>
      <formula2>5.0</formula2>
    </dataValidation>
  </dataValidations>
  <printOptions/>
  <pageMargins bottom="0.984027777777778" footer="0.0" header="0.0" left="0.7875" right="0.7875" top="0.984027777777778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5.0"/>
    <col customWidth="1" min="5" max="5" width="14.29"/>
    <col customWidth="1" min="6" max="6" width="20.57"/>
    <col customWidth="1" min="7" max="7" width="16.71"/>
    <col customWidth="1" min="8" max="8" width="20.71"/>
    <col customWidth="1" min="9" max="32" width="8.71"/>
  </cols>
  <sheetData>
    <row r="1" ht="12.75" customHeight="1">
      <c r="A1" s="1"/>
      <c r="B1" s="133" t="s">
        <v>139</v>
      </c>
      <c r="C1" s="7"/>
      <c r="D1" s="7"/>
      <c r="E1" s="7"/>
      <c r="F1" s="7"/>
      <c r="G1" s="7"/>
      <c r="H1" s="7"/>
      <c r="I1" s="7"/>
      <c r="J1" s="7"/>
      <c r="K1" s="7"/>
      <c r="L1" s="9"/>
      <c r="M1" s="134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12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ht="12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ht="12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ht="12.75" customHeight="1">
      <c r="A5" s="1"/>
      <c r="B5" s="135" t="s">
        <v>148</v>
      </c>
      <c r="C5" s="136" t="s">
        <v>151</v>
      </c>
      <c r="D5" s="136" t="s">
        <v>153</v>
      </c>
      <c r="E5" s="137" t="s">
        <v>154</v>
      </c>
      <c r="F5" s="137" t="s">
        <v>155</v>
      </c>
      <c r="G5" s="137" t="s">
        <v>156</v>
      </c>
      <c r="H5" s="137" t="s">
        <v>157</v>
      </c>
      <c r="I5" s="137" t="s">
        <v>158</v>
      </c>
      <c r="J5" s="137" t="s">
        <v>159</v>
      </c>
      <c r="K5" s="137" t="s">
        <v>160</v>
      </c>
      <c r="L5" s="138" t="s">
        <v>161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ht="12.75" customHeight="1">
      <c r="A6" s="1"/>
      <c r="B6" s="139" t="s">
        <v>162</v>
      </c>
      <c r="C6" s="32">
        <v>190.0</v>
      </c>
      <c r="D6" s="28">
        <f t="shared" ref="D6:D9" si="1">SUM(E6:K6)</f>
        <v>589</v>
      </c>
      <c r="E6" s="140">
        <v>25.0</v>
      </c>
      <c r="F6" s="140">
        <v>80.0</v>
      </c>
      <c r="G6" s="140">
        <v>25.0</v>
      </c>
      <c r="H6" s="140">
        <v>400.0</v>
      </c>
      <c r="I6" s="140">
        <v>10.0</v>
      </c>
      <c r="J6" s="140">
        <v>25.0</v>
      </c>
      <c r="K6" s="140">
        <v>24.0</v>
      </c>
      <c r="L6" s="141">
        <f t="shared" ref="L6:L9" si="2">D6/C6</f>
        <v>3.1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ht="12.75" customHeight="1">
      <c r="A7" s="1"/>
      <c r="B7" s="139" t="s">
        <v>163</v>
      </c>
      <c r="C7" s="28">
        <v>130.0</v>
      </c>
      <c r="D7" s="28">
        <f t="shared" si="1"/>
        <v>326</v>
      </c>
      <c r="E7" s="142">
        <v>20.0</v>
      </c>
      <c r="F7" s="142">
        <v>120.0</v>
      </c>
      <c r="G7" s="142">
        <v>30.0</v>
      </c>
      <c r="H7" s="142">
        <v>100.0</v>
      </c>
      <c r="I7" s="142">
        <v>10.0</v>
      </c>
      <c r="J7" s="142">
        <v>30.0</v>
      </c>
      <c r="K7" s="142">
        <v>16.0</v>
      </c>
      <c r="L7" s="141">
        <f t="shared" si="2"/>
        <v>2.507692308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ht="12.75" customHeight="1">
      <c r="A8" s="1"/>
      <c r="B8" s="139" t="s">
        <v>164</v>
      </c>
      <c r="C8" s="28">
        <v>140.0</v>
      </c>
      <c r="D8" s="28">
        <f t="shared" si="1"/>
        <v>399</v>
      </c>
      <c r="E8" s="143">
        <v>17.0</v>
      </c>
      <c r="F8" s="143">
        <v>90.0</v>
      </c>
      <c r="G8" s="143">
        <v>32.0</v>
      </c>
      <c r="H8" s="143">
        <v>200.0</v>
      </c>
      <c r="I8" s="143">
        <v>12.0</v>
      </c>
      <c r="J8" s="143">
        <v>32.0</v>
      </c>
      <c r="K8" s="143">
        <v>16.0</v>
      </c>
      <c r="L8" s="141">
        <f t="shared" si="2"/>
        <v>2.85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ht="12.75" customHeight="1">
      <c r="A9" s="1"/>
      <c r="B9" s="139" t="s">
        <v>165</v>
      </c>
      <c r="C9" s="28">
        <v>125.0</v>
      </c>
      <c r="D9" s="28">
        <f t="shared" si="1"/>
        <v>486</v>
      </c>
      <c r="E9" s="142">
        <v>22.0</v>
      </c>
      <c r="F9" s="142">
        <v>80.0</v>
      </c>
      <c r="G9" s="142">
        <v>33.0</v>
      </c>
      <c r="H9" s="142">
        <v>300.0</v>
      </c>
      <c r="I9" s="142">
        <v>8.0</v>
      </c>
      <c r="J9" s="142">
        <v>35.0</v>
      </c>
      <c r="K9" s="142">
        <v>8.0</v>
      </c>
      <c r="L9" s="141">
        <f t="shared" si="2"/>
        <v>3.888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ht="12.75" customHeight="1">
      <c r="A10" s="1"/>
      <c r="B10" s="144"/>
      <c r="C10" s="28"/>
      <c r="D10" s="28"/>
      <c r="E10" s="142"/>
      <c r="F10" s="142"/>
      <c r="G10" s="142"/>
      <c r="H10" s="142"/>
      <c r="I10" s="142"/>
      <c r="J10" s="142"/>
      <c r="K10" s="142"/>
      <c r="L10" s="145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ht="12.75" customHeight="1">
      <c r="A11" s="1"/>
      <c r="B11" s="144"/>
      <c r="C11" s="28"/>
      <c r="D11" s="28"/>
      <c r="E11" s="142"/>
      <c r="F11" s="142"/>
      <c r="G11" s="142"/>
      <c r="H11" s="142"/>
      <c r="I11" s="142"/>
      <c r="J11" s="142"/>
      <c r="K11" s="142"/>
      <c r="L11" s="145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ht="12.75" customHeight="1">
      <c r="A12" s="1"/>
      <c r="B12" s="144"/>
      <c r="C12" s="28"/>
      <c r="D12" s="28"/>
      <c r="E12" s="142"/>
      <c r="F12" s="142"/>
      <c r="G12" s="142"/>
      <c r="H12" s="142"/>
      <c r="I12" s="142"/>
      <c r="J12" s="142"/>
      <c r="K12" s="142"/>
      <c r="L12" s="145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ht="12.75" customHeight="1">
      <c r="A13" s="1"/>
      <c r="B13" s="144"/>
      <c r="C13" s="28"/>
      <c r="D13" s="28"/>
      <c r="E13" s="142"/>
      <c r="F13" s="142"/>
      <c r="G13" s="142"/>
      <c r="H13" s="142"/>
      <c r="I13" s="142"/>
      <c r="J13" s="142"/>
      <c r="K13" s="142"/>
      <c r="L13" s="14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ht="12.75" customHeight="1">
      <c r="A14" s="1"/>
      <c r="B14" s="144"/>
      <c r="C14" s="28"/>
      <c r="D14" s="28"/>
      <c r="E14" s="142"/>
      <c r="F14" s="142"/>
      <c r="G14" s="142"/>
      <c r="H14" s="142"/>
      <c r="I14" s="142"/>
      <c r="J14" s="142"/>
      <c r="K14" s="142"/>
      <c r="L14" s="145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ht="12.75" customHeight="1">
      <c r="A15" s="1"/>
      <c r="B15" s="144"/>
      <c r="C15" s="28"/>
      <c r="D15" s="28"/>
      <c r="E15" s="142"/>
      <c r="F15" s="142"/>
      <c r="G15" s="142"/>
      <c r="H15" s="142"/>
      <c r="I15" s="142"/>
      <c r="J15" s="142"/>
      <c r="K15" s="142"/>
      <c r="L15" s="145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ht="12.75" customHeight="1">
      <c r="A16" s="1"/>
      <c r="B16" s="144"/>
      <c r="C16" s="28"/>
      <c r="D16" s="28"/>
      <c r="E16" s="142"/>
      <c r="F16" s="142"/>
      <c r="G16" s="142"/>
      <c r="H16" s="142"/>
      <c r="I16" s="142"/>
      <c r="J16" s="142"/>
      <c r="K16" s="142"/>
      <c r="L16" s="145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ht="12.75" customHeight="1">
      <c r="A17" s="1"/>
      <c r="B17" s="144"/>
      <c r="C17" s="28"/>
      <c r="D17" s="28"/>
      <c r="E17" s="142"/>
      <c r="F17" s="142"/>
      <c r="G17" s="142"/>
      <c r="H17" s="142"/>
      <c r="I17" s="142"/>
      <c r="J17" s="142"/>
      <c r="K17" s="142"/>
      <c r="L17" s="145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ht="12.75" customHeight="1">
      <c r="A18" s="1"/>
      <c r="B18" s="144"/>
      <c r="C18" s="28"/>
      <c r="D18" s="28"/>
      <c r="E18" s="142"/>
      <c r="F18" s="142"/>
      <c r="G18" s="142"/>
      <c r="H18" s="142"/>
      <c r="I18" s="142"/>
      <c r="J18" s="142"/>
      <c r="K18" s="142"/>
      <c r="L18" s="145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ht="12.75" customHeight="1">
      <c r="A19" s="1"/>
      <c r="B19" s="144"/>
      <c r="C19" s="28"/>
      <c r="D19" s="28"/>
      <c r="E19" s="142"/>
      <c r="F19" s="142"/>
      <c r="G19" s="142"/>
      <c r="H19" s="142"/>
      <c r="I19" s="142"/>
      <c r="J19" s="142"/>
      <c r="K19" s="142"/>
      <c r="L19" s="145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ht="12.75" customHeight="1">
      <c r="A20" s="1"/>
      <c r="B20" s="144"/>
      <c r="C20" s="28"/>
      <c r="D20" s="28"/>
      <c r="E20" s="142"/>
      <c r="F20" s="142"/>
      <c r="G20" s="142"/>
      <c r="H20" s="142"/>
      <c r="I20" s="142"/>
      <c r="J20" s="142"/>
      <c r="K20" s="142"/>
      <c r="L20" s="145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ht="12.75" customHeight="1">
      <c r="A21" s="1"/>
      <c r="B21" s="144"/>
      <c r="C21" s="28"/>
      <c r="D21" s="28"/>
      <c r="E21" s="142"/>
      <c r="F21" s="142"/>
      <c r="G21" s="142"/>
      <c r="H21" s="142"/>
      <c r="I21" s="142"/>
      <c r="J21" s="142"/>
      <c r="K21" s="142"/>
      <c r="L21" s="145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ht="12.75" customHeight="1">
      <c r="A22" s="1"/>
      <c r="B22" s="144"/>
      <c r="C22" s="28"/>
      <c r="D22" s="28"/>
      <c r="E22" s="142"/>
      <c r="F22" s="142"/>
      <c r="G22" s="142"/>
      <c r="H22" s="142"/>
      <c r="I22" s="142"/>
      <c r="J22" s="142"/>
      <c r="K22" s="142"/>
      <c r="L22" s="145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ht="12.75" customHeight="1">
      <c r="A23" s="1"/>
      <c r="B23" s="144"/>
      <c r="C23" s="28"/>
      <c r="D23" s="28"/>
      <c r="E23" s="142"/>
      <c r="F23" s="142"/>
      <c r="G23" s="142"/>
      <c r="H23" s="142"/>
      <c r="I23" s="142"/>
      <c r="J23" s="142"/>
      <c r="K23" s="142"/>
      <c r="L23" s="145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ht="12.75" customHeight="1">
      <c r="A24" s="1"/>
      <c r="B24" s="144"/>
      <c r="C24" s="28"/>
      <c r="D24" s="28"/>
      <c r="E24" s="142"/>
      <c r="F24" s="142"/>
      <c r="G24" s="142"/>
      <c r="H24" s="142"/>
      <c r="I24" s="142"/>
      <c r="J24" s="142"/>
      <c r="K24" s="142"/>
      <c r="L24" s="145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ht="12.75" customHeight="1">
      <c r="A25" s="1"/>
      <c r="B25" s="144"/>
      <c r="C25" s="28"/>
      <c r="D25" s="28"/>
      <c r="E25" s="142"/>
      <c r="F25" s="142"/>
      <c r="G25" s="142"/>
      <c r="H25" s="142"/>
      <c r="I25" s="142"/>
      <c r="J25" s="142"/>
      <c r="K25" s="142"/>
      <c r="L25" s="145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ht="12.75" customHeight="1">
      <c r="A26" s="1"/>
      <c r="B26" s="144"/>
      <c r="C26" s="28"/>
      <c r="D26" s="28"/>
      <c r="E26" s="142"/>
      <c r="F26" s="142"/>
      <c r="G26" s="142"/>
      <c r="H26" s="142"/>
      <c r="I26" s="142"/>
      <c r="J26" s="142"/>
      <c r="K26" s="142"/>
      <c r="L26" s="145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ht="12.75" customHeight="1">
      <c r="A27" s="1"/>
      <c r="B27" s="144"/>
      <c r="C27" s="28"/>
      <c r="D27" s="28"/>
      <c r="E27" s="142"/>
      <c r="F27" s="142"/>
      <c r="G27" s="142"/>
      <c r="H27" s="142"/>
      <c r="I27" s="142"/>
      <c r="J27" s="142"/>
      <c r="K27" s="142"/>
      <c r="L27" s="145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ht="12.75" customHeight="1">
      <c r="A28" s="1"/>
      <c r="B28" s="146"/>
      <c r="C28" s="34"/>
      <c r="D28" s="34"/>
      <c r="E28" s="147"/>
      <c r="F28" s="147"/>
      <c r="G28" s="147"/>
      <c r="H28" s="147"/>
      <c r="I28" s="147"/>
      <c r="J28" s="147"/>
      <c r="K28" s="147"/>
      <c r="L28" s="148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ht="12.75" customHeight="1">
      <c r="A29" s="1"/>
      <c r="B29" s="17" t="s">
        <v>166</v>
      </c>
      <c r="C29" s="149"/>
      <c r="D29" s="149">
        <f t="shared" ref="D29:K29" si="3">SUM(D6:D28)</f>
        <v>1800</v>
      </c>
      <c r="E29" s="149">
        <f t="shared" si="3"/>
        <v>84</v>
      </c>
      <c r="F29" s="149">
        <f t="shared" si="3"/>
        <v>370</v>
      </c>
      <c r="G29" s="149">
        <f t="shared" si="3"/>
        <v>120</v>
      </c>
      <c r="H29" s="149">
        <f t="shared" si="3"/>
        <v>1000</v>
      </c>
      <c r="I29" s="149">
        <f t="shared" si="3"/>
        <v>40</v>
      </c>
      <c r="J29" s="149">
        <f t="shared" si="3"/>
        <v>122</v>
      </c>
      <c r="K29" s="149">
        <f t="shared" si="3"/>
        <v>64</v>
      </c>
      <c r="L29" s="150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51" t="s">
        <v>167</v>
      </c>
      <c r="K30" s="55"/>
      <c r="L30" s="152">
        <f>SUM(L5:L28)/4</f>
        <v>3.086423077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ht="12.75" customHeight="1">
      <c r="A31" s="1"/>
      <c r="B31" s="153" t="s">
        <v>168</v>
      </c>
      <c r="C31" s="154"/>
      <c r="D31" s="155"/>
      <c r="E31" s="156">
        <f t="shared" ref="E31:K31" si="4">(E29*1)/$D$29</f>
        <v>0.04666666667</v>
      </c>
      <c r="F31" s="156">
        <f t="shared" si="4"/>
        <v>0.2055555556</v>
      </c>
      <c r="G31" s="156">
        <f t="shared" si="4"/>
        <v>0.06666666667</v>
      </c>
      <c r="H31" s="156">
        <f t="shared" si="4"/>
        <v>0.5555555556</v>
      </c>
      <c r="I31" s="156">
        <f t="shared" si="4"/>
        <v>0.02222222222</v>
      </c>
      <c r="J31" s="156">
        <f t="shared" si="4"/>
        <v>0.06777777778</v>
      </c>
      <c r="K31" s="156">
        <f t="shared" si="4"/>
        <v>0.03555555556</v>
      </c>
      <c r="L31" s="157">
        <f>SUM(E31:K31)</f>
        <v>1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L1"/>
    <mergeCell ref="J30:K30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&amp;CPágina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